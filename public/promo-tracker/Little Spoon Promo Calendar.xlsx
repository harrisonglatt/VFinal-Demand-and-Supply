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risonGlatt\Desktop\LS Claude\Promo Tracker\"/>
    </mc:Choice>
  </mc:AlternateContent>
  <xr:revisionPtr revIDLastSave="0" documentId="8_{9BC980DD-5D5F-4EA4-BFED-B55CA700F55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mo Calendar" sheetId="1" r:id="rId1"/>
  </sheets>
  <definedNames>
    <definedName name="Name" localSheetId="0">#REF!</definedName>
    <definedName name="PivotData1">#REF!</definedName>
    <definedName name="SOLYS">#REF!</definedName>
    <definedName name="SOLYS2">#REF!</definedName>
    <definedName name="Trend_Data">#REF!</definedName>
    <definedName name="Trend_Data2">#REF!</definedName>
    <definedName name="TRENDS_COMPARISON">#REF!</definedName>
    <definedName name="xxxx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tc={46ad3388-50d8-4622-a19b-228dbd53644f}</author>
    <author/>
    <author>tc={db4352da-c808-4794-82ad-0d652c0dc222}</author>
    <author>tc={cab17dba-4aa7-4758-8c7b-861b97502563}</author>
    <author>tc={13c56bcf-92e5-4a97-abed-99b882298e8b}</author>
    <author>tc={8b12d0f0-f315-451c-83c4-f757cd26bf89}</author>
    <author>tc={2ef40061-bf29-4650-bbfd-d87abd991d76}</author>
    <author>tc={811f68ad-1aaa-4d81-be46-c10ea1781a38}</author>
    <author>tc={7939b738-b39c-4d51-a293-424ee6e738a9}</author>
    <author>tc={23c774d9-79c5-440c-b7e8-d64ac3b1eec9}</author>
    <author>tc={91078950-deda-4d18-baf7-49a26b42e0b0}</author>
    <author>tc={c4bc9b68-5a0a-47ad-8f9e-ec8b94458413}</author>
    <author>tc={cfed5c8a-d7bb-4f5c-890d-eabdd1ab678e}</author>
    <author>tc={2d3cfe8c-682f-425a-8540-9d2660ac3360}</author>
    <author>tc={0e7afdb4-6b8e-4a6d-9d4b-08d9c8924198}</author>
    <author>tc={05f977a7-6c55-4f75-819c-37fa613cd92a}</author>
  </authors>
  <commentList>
    <comment ref="AK8" authorId="0" shapeId="0" xr:uid="{46AD3388-50D8-4622-A19B-228DBD53644F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Produce – 8 items (Single Serve pouch, Multipacks)
Single Pouch Distribution - 3 pouches in 1700 stores, 2 additional in Super Targets
Multipacks Distribution - 1 multipack in 1200 stores, 2 additional in Super Targets.  </t>
      </text>
    </comment>
    <comment ref="AI9" authorId="1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Cospace TVI 3717196
</t>
        </r>
      </text>
    </comment>
    <comment ref="AI10" authorId="1" shapeId="0" xr:uid="{00000000-0006-0000-0000-000002000000}">
      <text>
        <r>
          <rPr>
            <sz val="11"/>
            <color theme="1"/>
            <rFont val="Calibri"/>
            <scheme val="minor"/>
          </rPr>
          <t xml:space="preserve">8/7: Ranon confirmed the TPC was NOT APPROVED.  Need to escalate to Maddie &amp; Ryan. 
</t>
        </r>
      </text>
    </comment>
    <comment ref="AN10" authorId="1" shapeId="0" xr:uid="{00000000-0006-0000-0000-000003000000}">
      <text>
        <r>
          <rPr>
            <sz val="11"/>
            <color theme="1"/>
            <rFont val="Calibri"/>
            <scheme val="minor"/>
          </rPr>
          <t>ID 331838888
Submitted 9/8
Approved 9/19</t>
        </r>
      </text>
    </comment>
    <comment ref="AP10" authorId="1" shapeId="0" xr:uid="{00000000-0006-0000-0000-000004000000}">
      <text>
        <r>
          <rPr>
            <sz val="11"/>
            <color theme="1"/>
            <rFont val="Calibri"/>
            <scheme val="minor"/>
          </rPr>
          <t xml:space="preserve">7/18/25: APPROVED
Offer ID 646365585
Reg retail $3.49, TPC 2/$6
Forecasted D Markdown $: $43000
</t>
        </r>
      </text>
    </comment>
    <comment ref="AQ10" authorId="1" shapeId="0" xr:uid="{00000000-0006-0000-0000-000005000000}">
      <text>
        <r>
          <rPr>
            <sz val="11"/>
            <color theme="1"/>
            <rFont val="Calibri"/>
            <scheme val="minor"/>
          </rPr>
          <t>ID 129547261
Submitted 9/8
Approved 9/19</t>
        </r>
      </text>
    </comment>
    <comment ref="AV10" authorId="1" shapeId="0" xr:uid="{00000000-0006-0000-0000-000006000000}">
      <text>
        <r>
          <rPr>
            <sz val="11"/>
            <color theme="1"/>
            <rFont val="Calibri"/>
            <scheme val="minor"/>
          </rPr>
          <t>ID 902157417
Submitted 8/16
Approved 9/19</t>
        </r>
      </text>
    </comment>
    <comment ref="BA10" authorId="1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 ID 731821102
Submitted 8/16
Approved 9/19
1/5 Target reduced to one week, due to a Jan wk 1 category offer
</t>
        </r>
      </text>
    </comment>
    <comment ref="AL11" authorId="1" shapeId="0" xr:uid="{00000000-0006-0000-0000-000008000000}">
      <text>
        <r>
          <rPr>
            <sz val="11"/>
            <color theme="1"/>
            <rFont val="Calibri"/>
            <scheme val="minor"/>
          </rPr>
          <t xml:space="preserve">DWA Fee $10K ($50K split between 5 depts)
TVI Contract TBD
8/7: CONFIRMED
DWA Total Fee $50K
Pictured Items:  284-11-4983 and 211-34-TBD
Offer will include ALL Little Spoon
Offer setup will be owned by Target
</t>
        </r>
      </text>
    </comment>
    <comment ref="AM11" authorId="1" shapeId="0" xr:uid="{00000000-0006-0000-0000-000009000000}">
      <text>
        <r>
          <rPr>
            <sz val="11"/>
            <color theme="1"/>
            <rFont val="Calibri"/>
            <scheme val="minor"/>
          </rPr>
          <t>8/7:  CONFIRMED
DWA Total Ad Fee $50K
Pictured Items:  284-11-4983 and 211-34-TBD
Offer will include ALL LS items
7/15/25: APPROVED
Offer ID 893802521
Forecasted D Markdown $: $200000 (singles + 4pks)</t>
        </r>
      </text>
    </comment>
    <comment ref="AO11" authorId="2" shapeId="0" xr:uid="{DB4352DA-C808-4794-82AD-0D652C0DC222}">
      <text>
        <t>[Threaded comment]
Your version of Excel allows you to read this threaded comment; however, any edits to it will get removed if the file is opened in a newer version of Excel. Learn more: https://go.microsoft.com/fwlink/?linkid=870924
Comment:
    @harrison.glatt@littlespoon.com Target just confirmed that we'll be in the Weekly Ad 10/19-10/25 for Smoothie &amp; Yogos at BOGO 25% off....we originally had a TPC planed for 2wks, so I added the BOGO 25% to the calendar and condensed the original 2 wk offer down to 1 wk</t>
      </text>
    </comment>
    <comment ref="AR11" authorId="1" shapeId="0" xr:uid="{00000000-0006-0000-0000-00000A000000}">
      <text>
        <r>
          <rPr>
            <sz val="11"/>
            <color theme="1"/>
            <rFont val="Calibri"/>
            <scheme val="minor"/>
          </rPr>
          <t>Was not communicated to us ahead of execution</t>
        </r>
      </text>
    </comment>
    <comment ref="AS11" authorId="1" shapeId="0" xr:uid="{00000000-0006-0000-0000-00000B000000}">
      <text>
        <r>
          <rPr>
            <sz val="11"/>
            <color theme="1"/>
            <rFont val="Calibri"/>
            <scheme val="minor"/>
          </rPr>
          <t>ID 771785476 
Submitted 8/16
Approved 9/19</t>
        </r>
      </text>
    </comment>
    <comment ref="AY11" authorId="1" shapeId="0" xr:uid="{00000000-0006-0000-0000-00000C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BB11" authorId="1" shapeId="0" xr:uid="{00000000-0006-0000-0000-00000D000000}">
      <text>
        <r>
          <rPr>
            <sz val="11"/>
            <color theme="1"/>
            <rFont val="Calibri"/>
            <scheme val="minor"/>
          </rPr>
          <t>ID 474407792
Submitted 8/16
Approved 9/19</t>
        </r>
      </text>
    </comment>
    <comment ref="AK12" authorId="3" shapeId="0" xr:uid="{CAB17DBA-4AA7-4758-8C7B-861B97502563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Produce – 8 items (Single Serve pouch, Multipacks)
Single Pouch Distribution - 3 pouches in 1700 stores, 2 additional in Super Targets
Multipacks Distribution - 1 multipack in 1200 stores, 2 additional in Super Targets.  </t>
      </text>
    </comment>
    <comment ref="AI13" authorId="1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8/7: Ranon confirmed the TPC was NOT APPROVED.  Need to escalate to Maddie &amp; Ryan. </t>
        </r>
      </text>
    </comment>
    <comment ref="AN13" authorId="1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ID 816809623
Submitted 9/8
Approved 9/19
</t>
        </r>
      </text>
    </comment>
    <comment ref="AP13" authorId="1" shapeId="0" xr:uid="{00000000-0006-0000-0000-000010000000}">
      <text>
        <r>
          <rPr>
            <sz val="11"/>
            <color theme="1"/>
            <rFont val="Calibri"/>
            <scheme val="minor"/>
          </rPr>
          <t xml:space="preserve">7/15/25: APPROVED
Offer ID 871536492
$2 off
Forecasted D Markdown $: $15000
</t>
        </r>
      </text>
    </comment>
    <comment ref="AQ13" authorId="1" shapeId="0" xr:uid="{00000000-0006-0000-0000-000011000000}">
      <text>
        <r>
          <rPr>
            <sz val="11"/>
            <color theme="1"/>
            <rFont val="Calibri"/>
            <scheme val="minor"/>
          </rPr>
          <t>ID 542400694
Submitted 8/9
Approved 9/19</t>
        </r>
      </text>
    </comment>
    <comment ref="BA13" authorId="1" shapeId="0" xr:uid="{00000000-0006-0000-0000-000012000000}">
      <text>
        <r>
          <rPr>
            <sz val="11"/>
            <color theme="1"/>
            <rFont val="Calibri"/>
            <scheme val="minor"/>
          </rPr>
          <t>ID 531152366
Submitted 8/16
Approved 9/19
MST00990329
1/5: Target reduced to one week, due to a Jan wk 1 category offer
1/11: Target is running the promo at $11.18, not the $8.99 we planned</t>
        </r>
      </text>
    </comment>
    <comment ref="AL14" authorId="1" shapeId="0" xr:uid="{00000000-0006-0000-0000-000013000000}">
      <text>
        <r>
          <rPr>
            <sz val="11"/>
            <color theme="1"/>
            <rFont val="Calibri"/>
            <scheme val="minor"/>
          </rPr>
          <t xml:space="preserve">8/7: CONFIRMED
DWA Total Fee $50K
Pictured Items:  284-11-4983 and 211-34-TBD
Offer will include ALL Little Spoon
Offer setup will be owned by Target
</t>
        </r>
      </text>
    </comment>
    <comment ref="AM14" authorId="1" shapeId="0" xr:uid="{00000000-0006-0000-0000-000014000000}">
      <text>
        <r>
          <rPr>
            <sz val="11"/>
            <color theme="1"/>
            <rFont val="Calibri"/>
            <scheme val="minor"/>
          </rPr>
          <t>8/7:  CONFIRMED
DWA Total Ad Fee $50K
Pictured Items:  284-11-4983 and 211-34-TBD
7/15/25: APPROVED
Offer ID 893802521
20% off - requested VOP update 7/30
Forecasted D Markdown $: $200000 (singles + 4pks)</t>
        </r>
      </text>
    </comment>
    <comment ref="AO14" authorId="1" shapeId="0" xr:uid="{00000000-0006-0000-0000-000015000000}">
      <text>
        <r>
          <rPr>
            <sz val="11"/>
            <color theme="1"/>
            <rFont val="Calibri"/>
            <scheme val="minor"/>
          </rPr>
          <t xml:space="preserve">8/7:  CONFIRMED
DWA Total Ad Fee $50K
Pictured Items:  284-11-4983 and 211-34-TBD
Offer will include ALL LS items
</t>
        </r>
      </text>
    </comment>
    <comment ref="AR14" authorId="1" shapeId="0" xr:uid="{00000000-0006-0000-0000-000016000000}">
      <text>
        <r>
          <rPr>
            <sz val="11"/>
            <color theme="1"/>
            <rFont val="Calibri"/>
            <scheme val="minor"/>
          </rPr>
          <t>Was not communicated to us ahead of execution</t>
        </r>
      </text>
    </comment>
    <comment ref="AS14" authorId="1" shapeId="0" xr:uid="{00000000-0006-0000-0000-000017000000}">
      <text>
        <r>
          <rPr>
            <sz val="11"/>
            <color theme="1"/>
            <rFont val="Calibri"/>
            <scheme val="minor"/>
          </rPr>
          <t>ID 771785476 
Submitted 8/16
Approved 9/19</t>
        </r>
      </text>
    </comment>
    <comment ref="AY14" authorId="1" shapeId="0" xr:uid="{00000000-0006-0000-0000-000018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BB14" authorId="1" shapeId="0" xr:uid="{00000000-0006-0000-0000-000019000000}">
      <text>
        <r>
          <rPr>
            <sz val="11"/>
            <color theme="1"/>
            <rFont val="Calibri"/>
            <scheme val="minor"/>
          </rPr>
          <t>ID 474407792
Submitted 8/16
Approved 9/19</t>
        </r>
      </text>
    </comment>
    <comment ref="AH15" authorId="4" shapeId="0" xr:uid="{13C56BCF-92E5-4A97-ABED-99B882298E8B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Yogurt – 4 items (Multipacks, Single Serve pouch)
2 multipacks (Strawberry 4pk, Apple Berry 4pk). Distribution: 1650 stores.
2 single serve pouches (Strawberry, Mango). Distribution 500 stores.</t>
      </text>
    </comment>
    <comment ref="AV15" authorId="1" shapeId="0" xr:uid="{00000000-0006-0000-0000-00001A000000}">
      <text>
        <r>
          <rPr>
            <sz val="11"/>
            <color theme="1"/>
            <rFont val="Calibri"/>
            <scheme val="minor"/>
          </rPr>
          <t xml:space="preserve"> ID 182086100
Submitted 8/21
Approved 9/19
D MD TVI Contract 3783303</t>
        </r>
      </text>
    </comment>
    <comment ref="AI16" authorId="1" shapeId="0" xr:uid="{00000000-0006-0000-0000-00001B000000}">
      <text>
        <r>
          <rPr>
            <sz val="11"/>
            <color theme="1"/>
            <rFont val="Calibri"/>
            <scheme val="minor"/>
          </rPr>
          <t xml:space="preserve">Cospace TVI 3716486
	</t>
        </r>
      </text>
    </comment>
    <comment ref="AI17" authorId="1" shapeId="0" xr:uid="{00000000-0006-0000-0000-00001C000000}">
      <text>
        <r>
          <rPr>
            <sz val="11"/>
            <color theme="1"/>
            <rFont val="Calibri"/>
            <scheme val="minor"/>
          </rPr>
          <t xml:space="preserve">8/7: Ranon confirmed the TPC was NOT APPROVED.  Need to escalate to Maddie &amp; Ryan. 	
</t>
        </r>
      </text>
    </comment>
    <comment ref="AL17" authorId="1" shapeId="0" xr:uid="{00000000-0006-0000-0000-00001D000000}">
      <text>
        <r>
          <rPr>
            <sz val="11"/>
            <color theme="1"/>
            <rFont val="Calibri"/>
            <scheme val="minor"/>
          </rPr>
          <t xml:space="preserve">DWA Ad Fee $10K ($50K split between 5 Depts)
TVI Contract 3730931
8/7: CONFIRMED
DWA Total Fee $50K
Pictured Items:  284-11-4983 and 211-34-TBD
Offer will include ALL Little Spoon
Offer setup will be owned by Target
</t>
        </r>
      </text>
    </comment>
    <comment ref="AN17" authorId="1" shapeId="0" xr:uid="{00000000-0006-0000-0000-00001E000000}">
      <text>
        <r>
          <rPr>
            <sz val="11"/>
            <color theme="1"/>
            <rFont val="Calibri"/>
            <scheme val="minor"/>
          </rPr>
          <t xml:space="preserve"> ID 108852573
Submitted 8/9
TVI Contract 3760028</t>
        </r>
      </text>
    </comment>
    <comment ref="AP17" authorId="1" shapeId="0" xr:uid="{00000000-0006-0000-0000-00001F000000}">
      <text>
        <r>
          <rPr>
            <sz val="11"/>
            <color theme="1"/>
            <rFont val="Calibri"/>
            <scheme val="minor"/>
          </rPr>
          <t xml:space="preserve">7/18/25: APPROVED
Offer ID 308250616
Reg retail $3.49, TPC 2/$6
Forecasted D Markdown $: $40000
TVI Contract 3759890
</t>
        </r>
      </text>
    </comment>
    <comment ref="AQ17" authorId="1" shapeId="0" xr:uid="{00000000-0006-0000-0000-000020000000}">
      <text>
        <r>
          <rPr>
            <sz val="11"/>
            <color theme="1"/>
            <rFont val="Calibri"/>
            <scheme val="minor"/>
          </rPr>
          <t>ID 930647480
Submitted 9/8
TVI 3773457</t>
        </r>
      </text>
    </comment>
    <comment ref="AZ17" authorId="1" shapeId="0" xr:uid="{00000000-0006-0000-0000-000021000000}">
      <text>
        <r>
          <rPr>
            <sz val="11"/>
            <color theme="1"/>
            <rFont val="Calibri"/>
            <scheme val="minor"/>
          </rPr>
          <t>ID 396469645
Submitted 8/21
Approved 9/19</t>
        </r>
      </text>
    </comment>
    <comment ref="AM18" authorId="1" shapeId="0" xr:uid="{00000000-0006-0000-0000-000022000000}">
      <text>
        <r>
          <rPr>
            <sz val="11"/>
            <color theme="1"/>
            <rFont val="Calibri"/>
            <scheme val="minor"/>
          </rPr>
          <t>8/7:  CONFIRMED
DWA Total Ad Fee $50K, split between 5 Depts. 
Pictured Items:  284-11-4983 and 211-34-TBD
TVI Contract 3760845
7/15/25: APPROVED
Offer ID 583022748
Forecasted D Markdown $: $120000 (singles + 4pks)</t>
        </r>
      </text>
    </comment>
    <comment ref="AO18" authorId="1" shapeId="0" xr:uid="{00000000-0006-0000-0000-000023000000}">
      <text>
        <r>
          <rPr>
            <sz val="11"/>
            <color theme="1"/>
            <rFont val="Calibri"/>
            <scheme val="minor"/>
          </rPr>
          <t xml:space="preserve">8/7:  CONFIRMED
DWA Total Ad Fee $50K, split evenly between 5 Depts
Pictured Items:  284-11-4983 and 211-34-TBD
TVI Contract 3760851
Offer will include ALL LS items
</t>
        </r>
      </text>
    </comment>
    <comment ref="AS18" authorId="1" shapeId="0" xr:uid="{00000000-0006-0000-0000-000024000000}">
      <text>
        <r>
          <rPr>
            <sz val="11"/>
            <color theme="1"/>
            <rFont val="Calibri"/>
            <scheme val="minor"/>
          </rPr>
          <t xml:space="preserve">ID 373721218
Submitted 8/21
Approved 9/19
</t>
        </r>
      </text>
    </comment>
    <comment ref="AY18" authorId="1" shapeId="0" xr:uid="{00000000-0006-0000-0000-000025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BB18" authorId="1" shapeId="0" xr:uid="{00000000-0006-0000-0000-000026000000}">
      <text>
        <r>
          <rPr>
            <sz val="11"/>
            <color theme="1"/>
            <rFont val="Calibri"/>
            <scheme val="minor"/>
          </rPr>
          <t>ID 384289610 
Submitted 8/21
Approved 9/19</t>
        </r>
      </text>
    </comment>
    <comment ref="AI19" authorId="1" shapeId="0" xr:uid="{00000000-0006-0000-0000-000027000000}">
      <text>
        <r>
          <rPr>
            <sz val="11"/>
            <color theme="1"/>
            <rFont val="Calibri"/>
            <scheme val="minor"/>
          </rPr>
          <t>7/28: AB confirmed no promo</t>
        </r>
      </text>
    </comment>
    <comment ref="AI20" authorId="1" shapeId="0" xr:uid="{00000000-0006-0000-0000-000028000000}">
      <text>
        <r>
          <rPr>
            <sz val="11"/>
            <color theme="1"/>
            <rFont val="Calibri"/>
            <scheme val="minor"/>
          </rPr>
          <t>8/7: Ranon confirmed the TPC was NOT APPROVED.  Need to escalate to Maddie &amp; Ryan.</t>
        </r>
      </text>
    </comment>
    <comment ref="AL20" authorId="1" shapeId="0" xr:uid="{00000000-0006-0000-0000-000029000000}">
      <text>
        <r>
          <rPr>
            <sz val="11"/>
            <color theme="1"/>
            <rFont val="Calibri"/>
            <scheme val="minor"/>
          </rPr>
          <t xml:space="preserve">8/7: CONFIRMED
DWA Total Fee $50K
Pictured Items:  284-11-4983 and 211-34-TBD
Offer will include ALL Little Spoon
Offer setup will be owned by Target
</t>
        </r>
      </text>
    </comment>
    <comment ref="AN20" authorId="1" shapeId="0" xr:uid="{00000000-0006-0000-0000-00002A000000}">
      <text>
        <r>
          <rPr>
            <sz val="11"/>
            <color theme="1"/>
            <rFont val="Calibri"/>
            <scheme val="minor"/>
          </rPr>
          <t xml:space="preserve"> ID 515217016
Submitted 9/8
TVI Contract 3759967</t>
        </r>
      </text>
    </comment>
    <comment ref="AP20" authorId="1" shapeId="0" xr:uid="{00000000-0006-0000-0000-00002B000000}">
      <text>
        <r>
          <rPr>
            <sz val="11"/>
            <color theme="1"/>
            <rFont val="Calibri"/>
            <scheme val="minor"/>
          </rPr>
          <t xml:space="preserve">7/15/25: APPROVED
Offer ID 177903480
$2 off
Forecasted D Markdown $: $15000
TVI Contract 3760038
</t>
        </r>
      </text>
    </comment>
    <comment ref="AQ20" authorId="1" shapeId="0" xr:uid="{00000000-0006-0000-0000-00002C000000}">
      <text>
        <r>
          <rPr>
            <sz val="11"/>
            <color theme="1"/>
            <rFont val="Calibri"/>
            <scheme val="minor"/>
          </rPr>
          <t>ID 432918624
Submitted 9/8
TVI 3773485</t>
        </r>
      </text>
    </comment>
    <comment ref="AZ20" authorId="1" shapeId="0" xr:uid="{00000000-0006-0000-0000-00002D000000}">
      <text>
        <r>
          <rPr>
            <sz val="11"/>
            <color theme="1"/>
            <rFont val="Calibri"/>
            <scheme val="minor"/>
          </rPr>
          <t>ID 172490013
Submitted 8/21
Approved 9/19</t>
        </r>
      </text>
    </comment>
    <comment ref="AM21" authorId="1" shapeId="0" xr:uid="{00000000-0006-0000-0000-00002E000000}">
      <text>
        <r>
          <rPr>
            <sz val="11"/>
            <color theme="1"/>
            <rFont val="Calibri"/>
            <scheme val="minor"/>
          </rPr>
          <t>8/7:  CONFIRMED
DWA Total Ad Fee $50K
Pictured Items:  284-11-4983 and 211-34-TBD
7/15/25: APPROVED
Offer ID 583022748
20% off - requested VOP update 7/30
Forecasted D Markdown $: $120000 (singles + 4pks)</t>
        </r>
      </text>
    </comment>
    <comment ref="AO21" authorId="1" shapeId="0" xr:uid="{00000000-0006-0000-0000-00002F000000}">
      <text>
        <r>
          <rPr>
            <sz val="11"/>
            <color theme="1"/>
            <rFont val="Calibri"/>
            <scheme val="minor"/>
          </rPr>
          <t xml:space="preserve">8/7:  CONFIRMED
DWA Total Ad Fee $50K
Pictured Items:  284-11-4983 and 211-34-TBD
Offer will include ALL LS items
</t>
        </r>
      </text>
    </comment>
    <comment ref="AS21" authorId="1" shapeId="0" xr:uid="{00000000-0006-0000-0000-000030000000}">
      <text>
        <r>
          <rPr>
            <sz val="11"/>
            <color theme="1"/>
            <rFont val="Calibri"/>
            <scheme val="minor"/>
          </rPr>
          <t>ID 373721218
Submitted 8/21
Approved 9/19</t>
        </r>
      </text>
    </comment>
    <comment ref="AY21" authorId="1" shapeId="0" xr:uid="{00000000-0006-0000-0000-000031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BB21" authorId="1" shapeId="0" xr:uid="{00000000-0006-0000-0000-000032000000}">
      <text>
        <r>
          <rPr>
            <sz val="11"/>
            <color theme="1"/>
            <rFont val="Calibri"/>
            <scheme val="minor"/>
          </rPr>
          <t>ID 384289610 
Submitted 8/21
Approved 9/19</t>
        </r>
      </text>
    </comment>
    <comment ref="AI22" authorId="5" shapeId="0" xr:uid="{8B12D0F0-F315-451C-83C4-F757CD26BF89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Baby – 3 items (Baby Cereal, Pitaya Rings, Apple Kale Puffs).
Distribution - 1700 stores.</t>
      </text>
    </comment>
    <comment ref="AI23" authorId="1" shapeId="0" xr:uid="{00000000-0006-0000-0000-000033000000}">
      <text>
        <r>
          <rPr>
            <sz val="11"/>
            <color theme="1"/>
            <rFont val="Calibri"/>
            <scheme val="minor"/>
          </rPr>
          <t>7/21/25: Confirmed
Co-space Fee = $92,773.33 = 
$40/store * 994 stores * 7 wks * 33% of space
MSC D71-EI1, 994 stores</t>
        </r>
      </text>
    </comment>
    <comment ref="AX23" authorId="1" shapeId="0" xr:uid="{00000000-0006-0000-0000-000034000000}">
      <text>
        <r>
          <rPr>
            <sz val="11"/>
            <color theme="1"/>
            <rFont val="Calibri"/>
            <scheme val="minor"/>
          </rPr>
          <t>Co-space Confirmed 10/6
MSC 007-JI1</t>
        </r>
      </text>
    </comment>
    <comment ref="AK24" authorId="1" shapeId="0" xr:uid="{00000000-0006-0000-0000-000035000000}">
      <text>
        <r>
          <rPr>
            <sz val="11"/>
            <color theme="1"/>
            <rFont val="Calibri"/>
            <scheme val="minor"/>
          </rPr>
          <t xml:space="preserve">7/21/25: NEED TO CONFIRM INCLUDED IN CO-SPACE IVY
Reg Retail $5.19, TPC 2/$8
Fcst DMD $3000
IVY for Co-space 
873328660 – 2/$10 9/7 to 10/4
902187104 – BOGO 25% 10/5 to 10/11
804659364 – 2/$10 10/12 to 10/25
</t>
        </r>
      </text>
    </comment>
    <comment ref="AN24" authorId="1" shapeId="0" xr:uid="{00000000-0006-0000-0000-000036000000}">
      <text>
        <r>
          <rPr>
            <sz val="11"/>
            <color theme="1"/>
            <rFont val="Calibri"/>
            <scheme val="minor"/>
          </rPr>
          <t>ID 430266189
Submitted 9/8</t>
        </r>
      </text>
    </comment>
    <comment ref="AX24" authorId="1" shapeId="0" xr:uid="{00000000-0006-0000-0000-000037000000}">
      <text>
        <r>
          <rPr>
            <sz val="11"/>
            <color theme="1"/>
            <rFont val="Calibri"/>
            <scheme val="minor"/>
          </rPr>
          <t xml:space="preserve">
VOP TPC Entry:
ID 935688725
Submitted 8/21
Approved 9/19
10/9: submitted ticket to change promo price to 2/$8 (not 2/$9).  MST00967178
Canceled 11/24 due to cospace award</t>
        </r>
      </text>
    </comment>
    <comment ref="AL25" authorId="1" shapeId="0" xr:uid="{00000000-0006-0000-0000-000038000000}">
      <text>
        <r>
          <rPr>
            <sz val="11"/>
            <color theme="1"/>
            <rFont val="Calibri"/>
            <scheme val="minor"/>
          </rPr>
          <t xml:space="preserve">DWA Ad Fee $10K ($50K split between 5 Depts)
TVI Contract TBD
8/7: CONFIRMED
DWA Total Fee $50K
Pictured Items:  284-11-4983 and 211-34-TBD
Offer will include ALL Little Spoon
Offer setup will be owned by Target
</t>
        </r>
      </text>
    </comment>
    <comment ref="AM25" authorId="1" shapeId="0" xr:uid="{00000000-0006-0000-0000-000039000000}">
      <text>
        <r>
          <rPr>
            <sz val="11"/>
            <color theme="1"/>
            <rFont val="Calibri"/>
            <scheme val="minor"/>
          </rPr>
          <t>8/7:  CONFIRMED
DWA Total Ad Fee $50K
Pictured Items:  284-11-4983 and 211-34-TBD
7/15/25: APPROVED
Offer ID 130715713
20% off - requested VOP update 7/30
Forecasted D Markdown $: $12000 (cereal + puffs)</t>
        </r>
      </text>
    </comment>
    <comment ref="AO25" authorId="1" shapeId="0" xr:uid="{00000000-0006-0000-0000-00003A000000}">
      <text>
        <r>
          <rPr>
            <sz val="11"/>
            <color theme="1"/>
            <rFont val="Calibri"/>
            <scheme val="minor"/>
          </rPr>
          <t xml:space="preserve">8/7:  CONFIRMED
DWA Total Ad Fee $50K
Pictured Items:  284-11-4983 and 211-34-TBD
Offer will include ALL LS items
</t>
        </r>
      </text>
    </comment>
    <comment ref="AS25" authorId="1" shapeId="0" xr:uid="{00000000-0006-0000-0000-00003B000000}">
      <text>
        <r>
          <rPr>
            <sz val="11"/>
            <color theme="1"/>
            <rFont val="Calibri"/>
            <scheme val="minor"/>
          </rPr>
          <t>ID 229071186 
Submitted 8/21
Approved 9/19
10/8: Submitted ticket to change end date to 11/22, to not stack with the Nov wk 4 DWA Circle  MST00966835</t>
        </r>
      </text>
    </comment>
    <comment ref="AT25" authorId="1" shapeId="0" xr:uid="{00000000-0006-0000-0000-00003C000000}">
      <text>
        <r>
          <rPr>
            <sz val="11"/>
            <color theme="1"/>
            <rFont val="Calibri"/>
            <scheme val="minor"/>
          </rPr>
          <t>Added 10/8
DWA: Target Driven Baby Care Targeted Circle Offer</t>
        </r>
      </text>
    </comment>
    <comment ref="AY25" authorId="1" shapeId="0" xr:uid="{00000000-0006-0000-0000-00003D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AI26" authorId="6" shapeId="0" xr:uid="{2EF40061-BF29-4650-BBFD-D87ABD991D76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Baby – 3 items (Baby Cereal, Pitaya Rings, Apple Kale Puffs).
Distribution - 1700 stores.</t>
      </text>
    </comment>
    <comment ref="AI27" authorId="1" shapeId="0" xr:uid="{00000000-0006-0000-0000-00003E000000}">
      <text>
        <r>
          <rPr>
            <sz val="11"/>
            <color theme="1"/>
            <rFont val="Calibri"/>
            <scheme val="minor"/>
          </rPr>
          <t>7/21/25: Confirmed
Co-space Fee = $92,773.33 = 
$40/store * 994 stores * 7 wks * 33% of space
MSC D71-EI1, 994 stores
TVI Contract 3792150</t>
        </r>
      </text>
    </comment>
    <comment ref="AX27" authorId="1" shapeId="0" xr:uid="{00000000-0006-0000-0000-00003F000000}">
      <text>
        <r>
          <rPr>
            <sz val="11"/>
            <color theme="1"/>
            <rFont val="Calibri"/>
            <scheme val="minor"/>
          </rPr>
          <t>Co-space Confirmed 10/6
MSC 007-JI1
TVI Contract 3792151</t>
        </r>
      </text>
    </comment>
    <comment ref="AI28" authorId="1" shapeId="0" xr:uid="{00000000-0006-0000-0000-000040000000}">
      <text>
        <r>
          <rPr>
            <sz val="11"/>
            <color theme="1"/>
            <rFont val="Calibri"/>
            <scheme val="minor"/>
          </rPr>
          <t>7/15/25: APPROVED 
Offer ID 799101903
Reg retail $5.99, TPC 2/$10
Fcst DMD $6400
IVY for Co-space 
873328660 – 2/$10 9/7 to 10/4
902187104 – BOGO 25% 10/5 to 10/11
804659364 – 2/$10 10/12 to 10/25</t>
        </r>
      </text>
    </comment>
    <comment ref="AX28" authorId="1" shapeId="0" xr:uid="{00000000-0006-0000-0000-000041000000}">
      <text>
        <r>
          <rPr>
            <sz val="11"/>
            <color theme="1"/>
            <rFont val="Calibri"/>
            <scheme val="minor"/>
          </rPr>
          <t>ID 950520397
Submitted 8/21
Approved 9/19
Canceled 11/24 due to co-space award</t>
        </r>
      </text>
    </comment>
    <comment ref="AL29" authorId="1" shapeId="0" xr:uid="{00000000-0006-0000-0000-000042000000}">
      <text>
        <r>
          <rPr>
            <sz val="11"/>
            <color theme="1"/>
            <rFont val="Calibri"/>
            <scheme val="minor"/>
          </rPr>
          <t xml:space="preserve">8/7: CONFIRMED
DWA Total Fee $50K
Pictured Items:  284-11-4983 and 211-34-TBD
Offer will include ALL Little Spoon
Offer setup will be owned by Target
</t>
        </r>
      </text>
    </comment>
    <comment ref="AM29" authorId="1" shapeId="0" xr:uid="{00000000-0006-0000-0000-000043000000}">
      <text>
        <r>
          <rPr>
            <sz val="11"/>
            <color theme="1"/>
            <rFont val="Calibri"/>
            <scheme val="minor"/>
          </rPr>
          <t>8/7:  CONFIRMED
DWA Total Ad Fee $50K
Pictured Items:  284-11-4983 and 211-34-TBD
7/15/25: APPROVED
Offer ID 130715713
20% off - requested VOP update 7/30
Forecasted D Markdown $: $12000 (cereal + puffs)</t>
        </r>
      </text>
    </comment>
    <comment ref="AO29" authorId="1" shapeId="0" xr:uid="{00000000-0006-0000-0000-000044000000}">
      <text>
        <r>
          <rPr>
            <sz val="11"/>
            <color theme="1"/>
            <rFont val="Calibri"/>
            <scheme val="minor"/>
          </rPr>
          <t xml:space="preserve">8/7:  CONFIRMED
DWA Total Ad Fee $50K
Pictured Items:  284-11-4983 and 211-34-TBD
Offer will include ALL LS items
</t>
        </r>
      </text>
    </comment>
    <comment ref="AT29" authorId="1" shapeId="0" xr:uid="{00000000-0006-0000-0000-000045000000}">
      <text>
        <r>
          <rPr>
            <sz val="11"/>
            <color theme="1"/>
            <rFont val="Calibri"/>
            <scheme val="minor"/>
          </rPr>
          <t>Added 10/8
DWA: Target Driven Baby Care Targeted Circle Offer</t>
        </r>
      </text>
    </comment>
    <comment ref="AU29" authorId="1" shapeId="0" xr:uid="{00000000-0006-0000-0000-000046000000}">
      <text>
        <r>
          <rPr>
            <sz val="11"/>
            <color theme="1"/>
            <rFont val="Calibri"/>
            <scheme val="minor"/>
          </rPr>
          <t>ID 389930776
Submitted 8/21
Approved 9/19
TVI# 3794597</t>
        </r>
      </text>
    </comment>
    <comment ref="AY29" authorId="1" shapeId="0" xr:uid="{00000000-0006-0000-0000-000047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AJ30" authorId="7" shapeId="0" xr:uid="{811F68AD-1AAA-4D81-BE46-C10EA1781A38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Frozen – 3 items (Chicken Dippers, Chicken Kale Sliders, Turkey Meatballs). 
Distribution - 2 items apx 1700 stores, 1 item apx 1200 stores.</t>
      </text>
    </comment>
    <comment ref="AI31" authorId="1" shapeId="0" xr:uid="{00000000-0006-0000-0000-000048000000}">
      <text>
        <r>
          <rPr>
            <sz val="11"/>
            <color theme="1"/>
            <rFont val="Calibri"/>
            <scheme val="minor"/>
          </rPr>
          <t>Cospace TVI 3716411</t>
        </r>
      </text>
    </comment>
    <comment ref="AI32" authorId="1" shapeId="0" xr:uid="{00000000-0006-0000-0000-000049000000}">
      <text>
        <r>
          <rPr>
            <sz val="11"/>
            <color theme="1"/>
            <rFont val="Calibri"/>
            <scheme val="minor"/>
          </rPr>
          <t>7/15/25: APPROVED via co-space award
Reg retail $9.99, TPC retail $7.99. 
Fcst DMD $92k</t>
        </r>
      </text>
    </comment>
    <comment ref="AP32" authorId="1" shapeId="0" xr:uid="{00000000-0006-0000-0000-00004A000000}">
      <text>
        <r>
          <rPr>
            <sz val="11"/>
            <color theme="1"/>
            <rFont val="Calibri"/>
            <scheme val="minor"/>
          </rPr>
          <t>7/15/25: APPROVED
Offer ID 943972106
Reg Retail $9.99, TPC $7.99 ($2 off)
Forecasted D Markdown $: $92000
TVI Contract 3759889</t>
        </r>
      </text>
    </comment>
    <comment ref="AZ32" authorId="1" shapeId="0" xr:uid="{00000000-0006-0000-0000-00004B000000}">
      <text>
        <r>
          <rPr>
            <sz val="11"/>
            <color theme="1"/>
            <rFont val="Calibri"/>
            <scheme val="minor"/>
          </rPr>
          <t xml:space="preserve"> ID 830481728
Submitted 8/21
Approved 9/19
10/9: Submitted ticket to cancel.  MST00967181</t>
        </r>
      </text>
    </comment>
    <comment ref="AL33" authorId="1" shapeId="0" xr:uid="{00000000-0006-0000-0000-00004C000000}">
      <text>
        <r>
          <rPr>
            <sz val="11"/>
            <color theme="1"/>
            <rFont val="Calibri"/>
            <scheme val="minor"/>
          </rPr>
          <t xml:space="preserve">DWA Fee $10K ($50K split between 5 Depts)
 TVI Contract 3730993
8/7: CONFIRMED
DWA Total Fee $50K
Pictured Items:  284-11-4983 and 211-34-TBD
Offer will include ALL Little Spoon
Offer setup will be owned by Target
</t>
        </r>
      </text>
    </comment>
    <comment ref="AM33" authorId="1" shapeId="0" xr:uid="{00000000-0006-0000-0000-00004D000000}">
      <text>
        <r>
          <rPr>
            <sz val="11"/>
            <color theme="1"/>
            <rFont val="Calibri"/>
            <scheme val="minor"/>
          </rPr>
          <t>8/7:  CONFIRMED
DWA Total Ad Fee $50K
Pictured Items:  284-11-4983 and 211-34-TBD
7/21/25: APPROVED
Offer ID 287628641
Forecasted D Markdown $: $114000</t>
        </r>
      </text>
    </comment>
    <comment ref="AO33" authorId="1" shapeId="0" xr:uid="{00000000-0006-0000-0000-00004E000000}">
      <text>
        <r>
          <rPr>
            <sz val="11"/>
            <color theme="1"/>
            <rFont val="Calibri"/>
            <scheme val="minor"/>
          </rPr>
          <t xml:space="preserve">8/7:  CONFIRMED
DWA Total Ad Fee $50K
Pictured Items:  284-11-4983 and 211-34-TBD
TVI Contract 3760789
Offer will include ALL LS items
</t>
        </r>
      </text>
    </comment>
    <comment ref="AS33" authorId="1" shapeId="0" xr:uid="{00000000-0006-0000-0000-00004F000000}">
      <text>
        <r>
          <rPr>
            <sz val="11"/>
            <color theme="1"/>
            <rFont val="Calibri"/>
            <scheme val="minor"/>
          </rPr>
          <t xml:space="preserve"> ID 988273737 
Submitted 8/21
Approved 9/19</t>
        </r>
      </text>
    </comment>
    <comment ref="AY33" authorId="1" shapeId="0" xr:uid="{00000000-0006-0000-0000-000050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AZ33" authorId="1" shapeId="0" xr:uid="{00000000-0006-0000-0000-000051000000}">
      <text>
        <r>
          <rPr>
            <sz val="11"/>
            <color theme="1"/>
            <rFont val="Calibri"/>
            <scheme val="minor"/>
          </rPr>
          <t xml:space="preserve">ID 464797143
Submitted 8/21
Approved 9/19
10/9: Submitted ticket to change dates to 1/4-1/31.  MST00967183
1/8: Submitted ticket to change VOP offer to BOGO 25% off MST00991582
</t>
        </r>
      </text>
    </comment>
    <comment ref="AK34" authorId="8" shapeId="0" xr:uid="{7939B738-B39C-4D51-A293-424EE6E738A9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Lunchbox – 3 items (Chocolate Chip, Blueberry Muffin &amp; Apple Pie Baked Bars).
Distribution – 1600 stores and merchandised on the category lead in.</t>
      </text>
    </comment>
    <comment ref="AV34" authorId="1" shapeId="0" xr:uid="{00000000-0006-0000-0000-000052000000}">
      <text>
        <r>
          <rPr>
            <sz val="11"/>
            <color theme="1"/>
            <rFont val="Calibri"/>
            <scheme val="minor"/>
          </rPr>
          <t>8/15:  Confirmed
Show 1 - Ad Fee = $40K
$0.99 scan,  071-OTBK
TVI Contract 3792803</t>
        </r>
      </text>
    </comment>
    <comment ref="AI35" authorId="1" shapeId="0" xr:uid="{00000000-0006-0000-0000-000053000000}">
      <text>
        <r>
          <rPr>
            <sz val="11"/>
            <color theme="1"/>
            <rFont val="Calibri"/>
            <scheme val="minor"/>
          </rPr>
          <t xml:space="preserve">7/21/25: Confirmed
Co-space Fee = $92,764.06 = 
$40/store * 994 stores * 7 wks * 33% of space
MSC D71-EI1, 994 stores
TVI Contract  3757966
Display PO# 10001445408
</t>
        </r>
      </text>
    </comment>
    <comment ref="AX35" authorId="1" shapeId="0" xr:uid="{00000000-0006-0000-0000-000054000000}">
      <text>
        <r>
          <rPr>
            <sz val="11"/>
            <color theme="1"/>
            <rFont val="Calibri"/>
            <scheme val="minor"/>
          </rPr>
          <t>Co-space Confirmed 10/6
MSC 007-JI1
Co-space Fee TVI# 3819818</t>
        </r>
      </text>
    </comment>
    <comment ref="AI36" authorId="1" shapeId="0" xr:uid="{00000000-0006-0000-0000-000055000000}">
      <text>
        <r>
          <rPr>
            <sz val="11"/>
            <color theme="1"/>
            <rFont val="Calibri"/>
            <scheme val="minor"/>
          </rPr>
          <t>715/25: APPROVED
Offer ID 799101903
Reg retail $5.19, TPC 2/$10
Fcst DMD $25000 (loops + bars)
TVI Contract 3758596, 3758659, 3760255
IVY for Co-space 
873328660 – 2/$10 9/7 to 10/4
902187104 – BOGO 25% 10/5 to 10/11
804659364 – 2/$10 10/12 to 10/25</t>
        </r>
      </text>
    </comment>
    <comment ref="AN36" authorId="1" shapeId="0" xr:uid="{00000000-0006-0000-0000-000056000000}">
      <text>
        <r>
          <rPr>
            <sz val="11"/>
            <color theme="1"/>
            <rFont val="Calibri"/>
            <scheme val="minor"/>
          </rPr>
          <t>TVI Contract 3758599</t>
        </r>
      </text>
    </comment>
    <comment ref="AX36" authorId="1" shapeId="0" xr:uid="{00000000-0006-0000-0000-000057000000}">
      <text>
        <r>
          <rPr>
            <sz val="11"/>
            <color theme="1"/>
            <rFont val="Calibri"/>
            <scheme val="minor"/>
          </rPr>
          <t xml:space="preserve">
VOP TPC Entry: 
ID 987414959 
Bars &amp; Loops
Submitted 8/21
Approved 9/19
10/9: Submitted ticket to change promo price to 2/$10 (not 2/$9) MST00967180
11/24: Oatbake bars removed from offer due to co-space award
Co-space Promo:
TVI# 3793463 12/21-12/27
TVI# 3809951 - 1/4-2/14
</t>
        </r>
      </text>
    </comment>
    <comment ref="AL37" authorId="1" shapeId="0" xr:uid="{00000000-0006-0000-0000-000058000000}">
      <text>
        <r>
          <rPr>
            <sz val="11"/>
            <color theme="1"/>
            <rFont val="Calibri"/>
            <scheme val="minor"/>
          </rPr>
          <t xml:space="preserve">DWA Ad Fee D71 $5K  ($50K split between 5 Depts)
TVI Contract 3762601
8/7: CONFIRMED
DWA Total Fee $50K
Pictured Items:  284-11-4983 and 211-34-TBD
Offer will include ALL Little Spoon
Offer setup will be owned by Target
</t>
        </r>
      </text>
    </comment>
    <comment ref="AM37" authorId="1" shapeId="0" xr:uid="{00000000-0006-0000-0000-000059000000}">
      <text>
        <r>
          <rPr>
            <sz val="11"/>
            <color theme="1"/>
            <rFont val="Calibri"/>
            <scheme val="minor"/>
          </rPr>
          <t>8/7:  CONFIRMED
DWA Total Ad Fee $50K, split evenly between 5 Depts
Pictured Items:  284-11-4983 and 211-34-TBD
TVI Contract 3762625
7/15/25:  APPROVED
Offer ID 130715713
20% off - requested VOP update 7/30
Forecasted D Markdown $: $33000 (bars + loops)</t>
        </r>
      </text>
    </comment>
    <comment ref="AO37" authorId="1" shapeId="0" xr:uid="{00000000-0006-0000-0000-00005A000000}">
      <text>
        <r>
          <rPr>
            <sz val="11"/>
            <color theme="1"/>
            <rFont val="Calibri"/>
            <scheme val="minor"/>
          </rPr>
          <t xml:space="preserve">8/7:  CONFIRMED
DWA Total Ad Fee $50K, split evenly between 5 depts.
Pictured Items:  284-11-4983 and 211-34-TBD
Ad Fee:  TVI Contract 3762606
Offer will include ALL LS items
D DMs:  D71 TVI Contract 3785993
</t>
        </r>
      </text>
    </comment>
    <comment ref="AU37" authorId="1" shapeId="0" xr:uid="{00000000-0006-0000-0000-00005B000000}">
      <text>
        <r>
          <rPr>
            <sz val="11"/>
            <color theme="1"/>
            <rFont val="Calibri"/>
            <scheme val="minor"/>
          </rPr>
          <t>ID 419542504
Submitted 8/21
Approved 9/19
TVI Contract #3806372</t>
        </r>
      </text>
    </comment>
    <comment ref="AY37" authorId="1" shapeId="0" xr:uid="{00000000-0006-0000-0000-00005C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AK38" authorId="9" shapeId="0" xr:uid="{23C774D9-79C5-440C-B7E8-D64AC3B1EEC9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Snacks – 2 items.
Distribution – 350-400 stores.</t>
      </text>
    </comment>
    <comment ref="AI39" authorId="1" shapeId="0" xr:uid="{00000000-0006-0000-0000-00005D000000}">
      <text>
        <r>
          <rPr>
            <sz val="11"/>
            <color theme="1"/>
            <rFont val="Calibri"/>
            <scheme val="minor"/>
          </rPr>
          <t>7/21/25: Confirmed
Co-space Fee = $92,773.33 = 
$40/store * 994 stores * 7 wks * 33% of space
TVI Contract #3773858
MSC D71-EI1, 994 stores</t>
        </r>
      </text>
    </comment>
    <comment ref="AI40" authorId="1" shapeId="0" xr:uid="{00000000-0006-0000-0000-00005E000000}">
      <text>
        <r>
          <rPr>
            <sz val="11"/>
            <color theme="1"/>
            <rFont val="Calibri"/>
            <scheme val="minor"/>
          </rPr>
          <t>715/25: APPROVED
Offer ID 799101903
Reg retail $5.19, TPC 2/$10
Fcst DMD $25000 (loops + bars)
TVI Contract 3758596, 3758659, 3760255
IVY for Co-space
873328660 – 2/$10 9/7 to 10/4
902187104 – BOGO 25% 10/5 to 10/11
804659364 – 2/$10 10/12 to 10/25</t>
        </r>
      </text>
    </comment>
    <comment ref="AN40" authorId="1" shapeId="0" xr:uid="{00000000-0006-0000-0000-00005F000000}">
      <text>
        <r>
          <rPr>
            <sz val="11"/>
            <color theme="1"/>
            <rFont val="Calibri"/>
            <scheme val="minor"/>
          </rPr>
          <t>TVI Contract 3758599</t>
        </r>
      </text>
    </comment>
    <comment ref="AZ40" authorId="1" shapeId="0" xr:uid="{00000000-0006-0000-0000-000060000000}">
      <text>
        <r>
          <rPr>
            <sz val="11"/>
            <color theme="1"/>
            <rFont val="Calibri"/>
            <scheme val="minor"/>
          </rPr>
          <t>ID 987414959
Loops 
Submitted 8/21
Approved 9/19
10/9: Submitted ticket to change promo price to 2/$10 (not 2/$9) MST00967180
TVI Contract #3809990</t>
        </r>
      </text>
    </comment>
    <comment ref="AL41" authorId="1" shapeId="0" xr:uid="{00000000-0006-0000-0000-000061000000}">
      <text>
        <r>
          <rPr>
            <sz val="11"/>
            <color theme="1"/>
            <rFont val="Calibri"/>
            <scheme val="minor"/>
          </rPr>
          <t xml:space="preserve">DWA Ad Fee $5K ($50K split between 5 Depts)
TVI Contract 3762601
8/7: CONFIRMED
DWA Total Fee $50K
Pictured Items:  284-11-4983 and 211-34-TBD
Offer will include ALL Little Spoon
Offer setup will be owned by Target
</t>
        </r>
      </text>
    </comment>
    <comment ref="AM41" authorId="1" shapeId="0" xr:uid="{00000000-0006-0000-0000-000062000000}">
      <text>
        <r>
          <rPr>
            <sz val="11"/>
            <color theme="1"/>
            <rFont val="Calibri"/>
            <scheme val="minor"/>
          </rPr>
          <t>8/7:  CONFIRMED
DWA Total Ad Fee $50K, split evenly between 5 Depts. 
Pictured Items:  284-11-4983 and 211-34-TBD
TVI Contract 3762625
7/15/25: APPROVED
Offer ID 130715713
20% off - requested VOP update 7/30
Forecasted D Markdown $: $33000 (bars + loops)</t>
        </r>
      </text>
    </comment>
    <comment ref="AO41" authorId="1" shapeId="0" xr:uid="{00000000-0006-0000-0000-000063000000}">
      <text>
        <r>
          <rPr>
            <sz val="11"/>
            <color theme="1"/>
            <rFont val="Calibri"/>
            <scheme val="minor"/>
          </rPr>
          <t xml:space="preserve">8/7:  CONFIRMED
DWA Total Ad Fee $50K, split evenly between 5 depts
Pictured Items:  284-11-4983 and 211-34-TBD
TVI Contract 3762606
Offer will include ALL LS items
</t>
        </r>
      </text>
    </comment>
    <comment ref="AU41" authorId="1" shapeId="0" xr:uid="{00000000-0006-0000-0000-000064000000}">
      <text>
        <r>
          <rPr>
            <sz val="11"/>
            <color theme="1"/>
            <rFont val="Calibri"/>
            <scheme val="minor"/>
          </rPr>
          <t>ID 945247402
Submitted 8/21
Approved 9/19
TVI Contract # 3806137</t>
        </r>
      </text>
    </comment>
    <comment ref="AY41" authorId="1" shapeId="0" xr:uid="{00000000-0006-0000-0000-000065000000}">
      <text>
        <r>
          <rPr>
            <sz val="11"/>
            <color theme="1"/>
            <rFont val="Calibri"/>
            <scheme val="minor"/>
          </rPr>
          <t>ID 890020094
Submitted 8/21
Approved 9/19
Canceled 12/1  MST00981202</t>
        </r>
      </text>
    </comment>
    <comment ref="B63" authorId="10" shapeId="0" xr:uid="{91078950-DEDA-4D18-BAF7-49A26B42E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Promotions:Display &amp; Advertisements</t>
      </text>
    </comment>
    <comment ref="B64" authorId="11" shapeId="0" xr:uid="{C4BC9B68-5A0A-47AD-8F9E-EC8B94458413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Scans</t>
      </text>
    </comment>
    <comment ref="F64" authorId="1" shapeId="0" xr:uid="{00000000-0006-0000-0000-000066000000}">
      <text>
        <r>
          <rPr>
            <sz val="11"/>
            <color theme="1"/>
            <rFont val="Calibri"/>
            <scheme val="minor"/>
          </rPr>
          <t xml:space="preserve">CONFIRMED
Ad Fee = $35,000  (all in D211)
15% off Smoothies &amp; Yogos
VOP Offer ID 291285498
Pictured items 211-34-0230 and  284-10-8661
DWA Fee TVI # 3799018
</t>
        </r>
      </text>
    </comment>
    <comment ref="O64" authorId="1" shapeId="0" xr:uid="{00000000-0006-0000-0000-000067000000}">
      <text>
        <r>
          <rPr>
            <sz val="11"/>
            <color theme="1"/>
            <rFont val="Calibri"/>
            <scheme val="minor"/>
          </rPr>
          <t>F&amp;B team driven, confirmed 2/12
Shannon Lied to enter into IVY
DWA Fee = $5k for each weeks
DWA Fee TVI Contract 3859953</t>
        </r>
      </text>
    </comment>
    <comment ref="P64" authorId="1" shapeId="0" xr:uid="{00000000-0006-0000-0000-000068000000}">
      <text>
        <r>
          <rPr>
            <sz val="11"/>
            <color theme="1"/>
            <rFont val="Calibri"/>
            <scheme val="minor"/>
          </rPr>
          <t>F&amp;B team driven, confirmed 2/12
Shannon Lied to enter into IVY
DWA Fee = $5K for each week
DWA Fee TVI Contract 3859962</t>
        </r>
      </text>
    </comment>
    <comment ref="AB64" authorId="1" shapeId="0" xr:uid="{00000000-0006-0000-0000-000069000000}">
      <text>
        <r>
          <rPr>
            <sz val="11"/>
            <color theme="1"/>
            <rFont val="Calibri"/>
            <scheme val="minor"/>
          </rPr>
          <t xml:space="preserve">2/17 Confirmed
BOGO 25% off entire Brand, Show 6
Total Ad Fee = $50K, split evenly by 5 depts
D211 Ad Fee = $10K
DWA Fee TVI Contract 3866456 </t>
        </r>
      </text>
    </comment>
    <comment ref="AK64" authorId="1" shapeId="0" xr:uid="{00000000-0006-0000-0000-00006A000000}">
      <text>
        <r>
          <rPr>
            <sz val="11"/>
            <color theme="1"/>
            <rFont val="Calibri"/>
            <scheme val="minor"/>
          </rPr>
          <t>CONFIRMED
4/17 Confirmed it's a Show 6, $50 total fee, split by dept. 
D211 DWA Fee $10K</t>
        </r>
      </text>
    </comment>
    <comment ref="B65" authorId="12" shapeId="0" xr:uid="{CFED5C8A-D7BB-4F5C-890D-EABDD1AB678E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Scans or Promotions</t>
      </text>
    </comment>
    <comment ref="O65" authorId="1" shapeId="0" xr:uid="{00000000-0006-0000-0000-00006B000000}">
      <text>
        <r>
          <rPr>
            <sz val="11"/>
            <color theme="1"/>
            <rFont val="Calibri"/>
            <scheme val="minor"/>
          </rPr>
          <t>ID 229010440
Submitted 11/21
Target proposed moving this to March wk 2
Canceled promo MST00996427</t>
        </r>
      </text>
    </comment>
    <comment ref="P65" authorId="1" shapeId="0" xr:uid="{00000000-0006-0000-0000-00006C000000}">
      <text>
        <r>
          <rPr>
            <sz val="11"/>
            <color theme="1"/>
            <rFont val="Calibri"/>
            <scheme val="minor"/>
          </rPr>
          <t>VOP Offer ID  421216790
Submitted 1/28 to support CSTI
2/17 canceled to avoid stacking with DWA  MST01001399</t>
        </r>
      </text>
    </comment>
    <comment ref="B66" authorId="13" shapeId="0" xr:uid="{2D3CFE8C-682F-425A-8540-9D2660AC3360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Scans or Promotions</t>
      </text>
    </comment>
    <comment ref="P66" authorId="1" shapeId="0" xr:uid="{00000000-0006-0000-0000-00006D000000}">
      <text>
        <r>
          <rPr>
            <sz val="11"/>
            <color theme="1"/>
            <rFont val="Calibri"/>
            <scheme val="minor"/>
          </rPr>
          <t>VOP Offer ID  421216790
Submitted 1/28 to support CSTI
2/17 canceled to avoid stacking with DWA  MST01001399</t>
        </r>
      </text>
    </comment>
    <comment ref="H67" authorId="1" shapeId="0" xr:uid="{00000000-0006-0000-0000-00006E000000}">
      <text>
        <r>
          <rPr>
            <sz val="11"/>
            <color theme="1"/>
            <rFont val="Calibri"/>
            <scheme val="minor"/>
          </rPr>
          <t>ID 150560216
Submitted 11/21
Approved 12/19</t>
        </r>
      </text>
    </comment>
    <comment ref="K67" authorId="1" shapeId="0" xr:uid="{00000000-0006-0000-0000-00006F000000}">
      <text>
        <r>
          <rPr>
            <sz val="11"/>
            <color theme="1"/>
            <rFont val="Calibri"/>
            <scheme val="minor"/>
          </rPr>
          <t>ID 746330065
Submitted 11/21
Approved 12/19</t>
        </r>
      </text>
    </comment>
    <comment ref="L67" authorId="1" shapeId="0" xr:uid="{00000000-0006-0000-0000-000070000000}">
      <text>
        <r>
          <rPr>
            <sz val="11"/>
            <color theme="1"/>
            <rFont val="Calibri"/>
            <scheme val="minor"/>
          </rPr>
          <t>ID 542039038
Submitted 11/21
Approved 12/19</t>
        </r>
      </text>
    </comment>
    <comment ref="S67" authorId="1" shapeId="0" xr:uid="{00000000-0006-0000-0000-000071000000}">
      <text>
        <r>
          <rPr>
            <sz val="11"/>
            <color theme="1"/>
            <rFont val="Calibri"/>
            <scheme val="minor"/>
          </rPr>
          <t xml:space="preserve">VOP Offer ID 654076964 
Submitted 2/6
</t>
        </r>
      </text>
    </comment>
    <comment ref="W67" authorId="1" shapeId="0" xr:uid="{00000000-0006-0000-0000-000072000000}">
      <text>
        <r>
          <rPr>
            <sz val="11"/>
            <color theme="1"/>
            <rFont val="Calibri"/>
            <scheme val="minor"/>
          </rPr>
          <t>VOP Offer ID 252215900
Submitted 2/6</t>
        </r>
      </text>
    </comment>
    <comment ref="AA67" authorId="1" shapeId="0" xr:uid="{00000000-0006-0000-0000-000073000000}">
      <text>
        <r>
          <rPr>
            <sz val="11"/>
            <color theme="1"/>
            <rFont val="Calibri"/>
            <scheme val="minor"/>
          </rPr>
          <t xml:space="preserve">VOP Offer ID 134725970
Submitted 2/6
4/4 Target moved to 6/28
Canceled offer MST MST01013522
</t>
        </r>
      </text>
    </comment>
    <comment ref="B68" authorId="14" shapeId="0" xr:uid="{0E7AFDB4-6B8E-4A6D-9D4B-08D9C8924198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Scans or Promotions</t>
      </text>
    </comment>
    <comment ref="H68" authorId="1" shapeId="0" xr:uid="{00000000-0006-0000-0000-000074000000}">
      <text>
        <r>
          <rPr>
            <sz val="11"/>
            <color theme="1"/>
            <rFont val="Calibri"/>
            <scheme val="minor"/>
          </rPr>
          <t>ID 998912758
Submitted 11/21
Approved 12/19</t>
        </r>
      </text>
    </comment>
    <comment ref="K68" authorId="1" shapeId="0" xr:uid="{00000000-0006-0000-0000-000075000000}">
      <text>
        <r>
          <rPr>
            <sz val="11"/>
            <color theme="1"/>
            <rFont val="Calibri"/>
            <scheme val="minor"/>
          </rPr>
          <t>ID 355022556
Submitted 11/21
Approved 12/19</t>
        </r>
      </text>
    </comment>
    <comment ref="L68" authorId="1" shapeId="0" xr:uid="{00000000-0006-0000-0000-000076000000}">
      <text>
        <r>
          <rPr>
            <sz val="11"/>
            <color theme="1"/>
            <rFont val="Calibri"/>
            <scheme val="minor"/>
          </rPr>
          <t xml:space="preserve"> ID 848957218
Submitted 11/21
Approved 12/19</t>
        </r>
      </text>
    </comment>
    <comment ref="S68" authorId="1" shapeId="0" xr:uid="{00000000-0006-0000-0000-000077000000}">
      <text>
        <r>
          <rPr>
            <sz val="11"/>
            <color theme="1"/>
            <rFont val="Calibri"/>
            <scheme val="minor"/>
          </rPr>
          <t>VOP Offer ID 776396606
Submitted 2/6</t>
        </r>
      </text>
    </comment>
    <comment ref="W68" authorId="1" shapeId="0" xr:uid="{00000000-0006-0000-0000-000078000000}">
      <text>
        <r>
          <rPr>
            <sz val="11"/>
            <color theme="1"/>
            <rFont val="Calibri"/>
            <scheme val="minor"/>
          </rPr>
          <t xml:space="preserve">VOP Offer ID 252215900
Submitted 2/6
</t>
        </r>
      </text>
    </comment>
    <comment ref="AA68" authorId="1" shapeId="0" xr:uid="{00000000-0006-0000-0000-000079000000}">
      <text>
        <r>
          <rPr>
            <sz val="11"/>
            <color theme="1"/>
            <rFont val="Calibri"/>
            <scheme val="minor"/>
          </rPr>
          <t>VOP Offer ID 134725970
Submitted 2/6
4/4 Target moved to 6/28
Canceled offer MST MST01013522</t>
        </r>
      </text>
    </comment>
    <comment ref="B69" authorId="15" shapeId="0" xr:uid="{05F977A7-6C55-4F75-819C-37FA613CD92A}">
      <text>
        <t>[Threaded comment]
Your version of Excel allows you to read this threaded comment; however, any edits to it will get removed if the file is opened in a newer version of Excel. Learn more: https://go.microsoft.com/fwlink/?linkid=870924
Comment:
    Scans or Promotions</t>
      </text>
    </comment>
    <comment ref="Q69" authorId="1" shapeId="0" xr:uid="{00000000-0006-0000-0000-00007A000000}">
      <text>
        <r>
          <rPr>
            <sz val="11"/>
            <color theme="1"/>
            <rFont val="Calibri"/>
            <scheme val="minor"/>
          </rPr>
          <t>Green Dream 4ct and Pineapple Guava increasing store count</t>
        </r>
      </text>
    </comment>
    <comment ref="F71" authorId="1" shapeId="0" xr:uid="{00000000-0006-0000-0000-00007B000000}">
      <text>
        <r>
          <rPr>
            <sz val="11"/>
            <color theme="1"/>
            <rFont val="Calibri"/>
            <scheme val="minor"/>
          </rPr>
          <t>CONFIRMED
Ad Fee will be in D211
15% off Smoothies &amp; Yogos
VOP Offer ID 291285498
Pictured items 211-34-0230 and  284-10-8661</t>
        </r>
      </text>
    </comment>
    <comment ref="O71" authorId="1" shapeId="0" xr:uid="{00000000-0006-0000-0000-00007C000000}">
      <text>
        <r>
          <rPr>
            <sz val="11"/>
            <color theme="1"/>
            <rFont val="Calibri"/>
            <scheme val="minor"/>
          </rPr>
          <t>F&amp;B team driven, confirmed 2/12
Shannon Lied to enter into IVY
DWA Fee = $5k
DWA Fee TVI Contract 3854248</t>
        </r>
      </text>
    </comment>
    <comment ref="P71" authorId="1" shapeId="0" xr:uid="{00000000-0006-0000-0000-00007D000000}">
      <text>
        <r>
          <rPr>
            <sz val="11"/>
            <color theme="1"/>
            <rFont val="Calibri"/>
            <scheme val="minor"/>
          </rPr>
          <t>F&amp;B team driven, confirmed 2/12
Shannon Lied to enter into IVY
DWA Fee = $5k
DWA Fee TVI Contract 3854202</t>
        </r>
      </text>
    </comment>
    <comment ref="AB71" authorId="1" shapeId="0" xr:uid="{00000000-0006-0000-0000-00007E000000}">
      <text>
        <r>
          <rPr>
            <sz val="11"/>
            <color theme="1"/>
            <rFont val="Calibri"/>
            <scheme val="minor"/>
          </rPr>
          <t>2/17 Confirmed
BOGO 25% off entire Brand, Show 6
Total Ad Fee = $50K, split evenly by 5 depts
D284 Ad Fee = $10K</t>
        </r>
      </text>
    </comment>
    <comment ref="AK71" authorId="1" shapeId="0" xr:uid="{00000000-0006-0000-0000-00007F000000}">
      <text>
        <r>
          <rPr>
            <sz val="11"/>
            <color theme="1"/>
            <rFont val="Calibri"/>
            <scheme val="minor"/>
          </rPr>
          <t>CONFIRMED
4/17 Confirmed it's a Show 6, $50 total fee, split by dept. 
D284 DWA Fee $10K</t>
        </r>
      </text>
    </comment>
    <comment ref="P72" authorId="1" shapeId="0" xr:uid="{00000000-0006-0000-0000-000080000000}">
      <text>
        <r>
          <rPr>
            <sz val="11"/>
            <color theme="1"/>
            <rFont val="Calibri"/>
            <scheme val="minor"/>
          </rPr>
          <t>ID 694960786
Submitted 11/21
Approved 12/19
1/28 added 4pks to offer MST00996434
2/17 canceled offer to avoid stacking with DWA MST01001402</t>
        </r>
      </text>
    </comment>
    <comment ref="P73" authorId="1" shapeId="0" xr:uid="{00000000-0006-0000-0000-000081000000}">
      <text>
        <r>
          <rPr>
            <sz val="11"/>
            <color theme="1"/>
            <rFont val="Calibri"/>
            <scheme val="minor"/>
          </rPr>
          <t>ID 694960786
Submitted 11/21
Approved 12/19
1/28 added 4pks to offer MST00996434
2/17 canceled offer to avoid stacking with DWA MST01001402</t>
        </r>
      </text>
    </comment>
    <comment ref="H74" authorId="1" shapeId="0" xr:uid="{00000000-0006-0000-0000-000082000000}">
      <text>
        <r>
          <rPr>
            <sz val="11"/>
            <color theme="1"/>
            <rFont val="Calibri"/>
            <scheme val="minor"/>
          </rPr>
          <t>ID 255527843
Submitted 11/21
Approved 12/19</t>
        </r>
      </text>
    </comment>
    <comment ref="K74" authorId="1" shapeId="0" xr:uid="{00000000-0006-0000-0000-000083000000}">
      <text>
        <r>
          <rPr>
            <sz val="11"/>
            <color theme="1"/>
            <rFont val="Calibri"/>
            <scheme val="minor"/>
          </rPr>
          <t>ID 958270315
Submitted 11/21
Approved 12/19</t>
        </r>
      </text>
    </comment>
    <comment ref="L74" authorId="1" shapeId="0" xr:uid="{00000000-0006-0000-0000-000084000000}">
      <text>
        <r>
          <rPr>
            <sz val="11"/>
            <color theme="1"/>
            <rFont val="Calibri"/>
            <scheme val="minor"/>
          </rPr>
          <t xml:space="preserve"> ID 805879050
Submitted 11/21
Approved 12/19</t>
        </r>
      </text>
    </comment>
    <comment ref="S74" authorId="1" shapeId="0" xr:uid="{00000000-0006-0000-0000-000085000000}">
      <text>
        <r>
          <rPr>
            <sz val="11"/>
            <color theme="1"/>
            <rFont val="Calibri"/>
            <scheme val="minor"/>
          </rPr>
          <t>VOP Offer ID 640302901
Submitted 2/6</t>
        </r>
      </text>
    </comment>
    <comment ref="H75" authorId="1" shapeId="0" xr:uid="{00000000-0006-0000-0000-000086000000}">
      <text>
        <r>
          <rPr>
            <sz val="11"/>
            <color theme="1"/>
            <rFont val="Calibri"/>
            <scheme val="minor"/>
          </rPr>
          <t>ID 892920840
Submitted 11/21
Approved 12/19</t>
        </r>
      </text>
    </comment>
    <comment ref="K75" authorId="1" shapeId="0" xr:uid="{00000000-0006-0000-0000-000087000000}">
      <text>
        <r>
          <rPr>
            <sz val="11"/>
            <color theme="1"/>
            <rFont val="Calibri"/>
            <scheme val="minor"/>
          </rPr>
          <t>ID 987743811
Submitted 11/21
Approved 12/19</t>
        </r>
      </text>
    </comment>
    <comment ref="L75" authorId="1" shapeId="0" xr:uid="{00000000-0006-0000-0000-000088000000}">
      <text>
        <r>
          <rPr>
            <sz val="11"/>
            <color theme="1"/>
            <rFont val="Calibri"/>
            <scheme val="minor"/>
          </rPr>
          <t>ID 700360243
Submitted 11/21
Approved 12/19</t>
        </r>
      </text>
    </comment>
    <comment ref="S75" authorId="1" shapeId="0" xr:uid="{00000000-0006-0000-0000-000089000000}">
      <text>
        <r>
          <rPr>
            <sz val="11"/>
            <color theme="1"/>
            <rFont val="Calibri"/>
            <scheme val="minor"/>
          </rPr>
          <t>VOP Offer ID 534179812
Submitted 2/6
Will need to add 3rd 4pk DPCI to offer</t>
        </r>
      </text>
    </comment>
    <comment ref="W75" authorId="1" shapeId="0" xr:uid="{00000000-0006-0000-0000-00008A000000}">
      <text>
        <r>
          <rPr>
            <sz val="11"/>
            <color theme="1"/>
            <rFont val="Calibri"/>
            <scheme val="minor"/>
          </rPr>
          <t>VOP Offer ID 822835066
Submittted 2/6
Will need to add 3rd 4pk DPCI to offer</t>
        </r>
      </text>
    </comment>
    <comment ref="AA75" authorId="1" shapeId="0" xr:uid="{00000000-0006-0000-0000-00008B000000}">
      <text>
        <r>
          <rPr>
            <sz val="11"/>
            <color theme="1"/>
            <rFont val="Calibri"/>
            <scheme val="minor"/>
          </rPr>
          <t>VOP Offer ID 923582793
Submitted 2/6
Will need to add 3rd 4pk DPCI to offer</t>
        </r>
      </text>
    </comment>
    <comment ref="W76" authorId="1" shapeId="0" xr:uid="{00000000-0006-0000-0000-00008C000000}">
      <text>
        <r>
          <rPr>
            <sz val="11"/>
            <color theme="1"/>
            <rFont val="Calibri"/>
            <scheme val="minor"/>
          </rPr>
          <t xml:space="preserve">Trop Mango 4pk launching
Single Pouches being deleted
</t>
        </r>
      </text>
    </comment>
    <comment ref="D77" authorId="1" shapeId="0" xr:uid="{00000000-0006-0000-0000-00008D000000}">
      <text>
        <r>
          <rPr>
            <sz val="11"/>
            <color theme="1"/>
            <rFont val="Calibri"/>
            <scheme val="minor"/>
          </rPr>
          <t>12/19: Updated promo pricing to $8.99
12/18:  Confirmed co-space fee of $424,242 will be reinvested into Roundel
Promo ID 669687645
MSC 270-AR</t>
        </r>
      </text>
    </comment>
    <comment ref="M77" authorId="1" shapeId="0" xr:uid="{00000000-0006-0000-0000-00008E000000}">
      <text>
        <r>
          <rPr>
            <sz val="11"/>
            <color theme="1"/>
            <rFont val="Calibri"/>
            <scheme val="minor"/>
          </rPr>
          <t xml:space="preserve">1/20/26 CONFIRMED
Cospace Fee = $13/store*1531 stores*3 shelves*4 weeks = $238,836
Stacy agreed to revinst cospace fee into Roundel at a 1.3x
Roundel Investment Required = $310,486
Existing assortment on co-space only (not May new items)
IVY Promo ID 765005724
</t>
        </r>
      </text>
    </comment>
    <comment ref="AJ77" authorId="1" shapeId="0" xr:uid="{00000000-0006-0000-0000-00008F000000}">
      <text>
        <r>
          <rPr>
            <sz val="11"/>
            <color theme="1"/>
            <rFont val="Calibri"/>
            <scheme val="minor"/>
          </rPr>
          <t>3/29
Recieved award, requested $417,963 fee to be reinvested into Roundel
 7 SKUS:  Protein, Veg and Breakfast</t>
        </r>
      </text>
    </comment>
    <comment ref="O78" authorId="1" shapeId="0" xr:uid="{00000000-0006-0000-0000-000090000000}">
      <text>
        <r>
          <rPr>
            <sz val="11"/>
            <color theme="1"/>
            <rFont val="Calibri"/>
            <scheme val="minor"/>
          </rPr>
          <t>F&amp;B team driven, confirmed 2/12
Shannon Lied to enter into IVY
DWA Fee=  $5K 
TVI Contract 3854201</t>
        </r>
      </text>
    </comment>
    <comment ref="P78" authorId="1" shapeId="0" xr:uid="{00000000-0006-0000-0000-000091000000}">
      <text>
        <r>
          <rPr>
            <sz val="11"/>
            <color theme="1"/>
            <rFont val="Calibri"/>
            <scheme val="minor"/>
          </rPr>
          <t xml:space="preserve">F&amp;B team driven, confirmed 2/12
Shannon Lied to enter into IVY
Promo IVY 592334178
D MD TVI Contract 3856922
DWA Fee = $5K
DWA Fee TVI Contract 3854244 </t>
        </r>
      </text>
    </comment>
    <comment ref="AB78" authorId="1" shapeId="0" xr:uid="{00000000-0006-0000-0000-000092000000}">
      <text>
        <r>
          <rPr>
            <sz val="11"/>
            <color theme="1"/>
            <rFont val="Calibri"/>
            <scheme val="minor"/>
          </rPr>
          <t>2/17 Confirmed
BOGO 25% off entire Brand, Show 6
Total Ad Fee = $50K, split evenly by 5 depts
D270 Ad Fee = $10K</t>
        </r>
      </text>
    </comment>
    <comment ref="AK78" authorId="1" shapeId="0" xr:uid="{00000000-0006-0000-0000-000093000000}">
      <text>
        <r>
          <rPr>
            <sz val="11"/>
            <color theme="1"/>
            <rFont val="Calibri"/>
            <scheme val="minor"/>
          </rPr>
          <t>CONFIRMED
4/17 Confirmed it's a Show 6, $50 total fee, split by dept. 
D270 DWA Fee $10K</t>
        </r>
      </text>
    </comment>
    <comment ref="N79" authorId="1" shapeId="0" xr:uid="{00000000-0006-0000-0000-000094000000}">
      <text>
        <r>
          <rPr>
            <sz val="11"/>
            <color theme="1"/>
            <rFont val="Calibri"/>
            <scheme val="minor"/>
          </rPr>
          <t>ID 776102207
Submitted 11/21
Approved 12/19
1/28 canceled due to cospace promo MST00996429</t>
        </r>
      </text>
    </comment>
    <comment ref="M80" authorId="1" shapeId="0" xr:uid="{00000000-0006-0000-0000-000095000000}">
      <text>
        <r>
          <rPr>
            <sz val="11"/>
            <color theme="1"/>
            <rFont val="Calibri"/>
            <scheme val="minor"/>
          </rPr>
          <t>Promo IVY 765005724
TVI Contract 3853728</t>
        </r>
      </text>
    </comment>
    <comment ref="T80" authorId="1" shapeId="0" xr:uid="{00000000-0006-0000-0000-000096000000}">
      <text>
        <r>
          <rPr>
            <sz val="11"/>
            <color theme="1"/>
            <rFont val="Calibri"/>
            <scheme val="minor"/>
          </rPr>
          <t>VOP Offer ID 867059683
Submitted 2/6
Includes May new items</t>
        </r>
      </text>
    </comment>
    <comment ref="W80" authorId="1" shapeId="0" xr:uid="{00000000-0006-0000-0000-000097000000}">
      <text>
        <r>
          <rPr>
            <sz val="11"/>
            <color theme="1"/>
            <rFont val="Calibri"/>
            <scheme val="minor"/>
          </rPr>
          <t>VOP Offer ID 407262512
Submitted 2/6
Includes May new items</t>
        </r>
      </text>
    </comment>
    <comment ref="AA80" authorId="1" shapeId="0" xr:uid="{00000000-0006-0000-0000-000098000000}">
      <text>
        <r>
          <rPr>
            <sz val="11"/>
            <color theme="1"/>
            <rFont val="Calibri"/>
            <scheme val="minor"/>
          </rPr>
          <t>VOP Offer ID 760101426
Submitted 2/6
Includes May new items</t>
        </r>
      </text>
    </comment>
    <comment ref="J81" authorId="1" shapeId="0" xr:uid="{00000000-0006-0000-0000-000099000000}">
      <text>
        <r>
          <rPr>
            <sz val="11"/>
            <color theme="1"/>
            <rFont val="Calibri"/>
            <scheme val="minor"/>
          </rPr>
          <t>Promo IVY 192591617
TVI Contract 3856655</t>
        </r>
      </text>
    </comment>
    <comment ref="P81" authorId="1" shapeId="0" xr:uid="{00000000-0006-0000-0000-00009A000000}">
      <text>
        <r>
          <rPr>
            <sz val="11"/>
            <color theme="1"/>
            <rFont val="Calibri"/>
            <scheme val="minor"/>
          </rPr>
          <t>12/18: moved up from 5/3
Cauli and Broccoli launching</t>
        </r>
      </text>
    </comment>
    <comment ref="AN81" authorId="1" shapeId="0" xr:uid="{00000000-0006-0000-0000-00009B000000}">
      <text>
        <r>
          <rPr>
            <sz val="11"/>
            <color theme="1"/>
            <rFont val="Calibri"/>
            <scheme val="minor"/>
          </rPr>
          <t xml:space="preserve">Launch Breakfast
</t>
        </r>
      </text>
    </comment>
    <comment ref="D82" authorId="1" shapeId="0" xr:uid="{00000000-0006-0000-0000-00009C000000}">
      <text>
        <r>
          <rPr>
            <sz val="11"/>
            <color theme="1"/>
            <rFont val="Calibri"/>
            <scheme val="minor"/>
          </rPr>
          <t xml:space="preserve">CONFIRMED
</t>
        </r>
      </text>
    </comment>
    <comment ref="O83" authorId="1" shapeId="0" xr:uid="{00000000-0006-0000-0000-00009D000000}">
      <text>
        <r>
          <rPr>
            <sz val="11"/>
            <color theme="1"/>
            <rFont val="Calibri"/>
            <scheme val="minor"/>
          </rPr>
          <t>F&amp;B team driven, confirmed 2/12
Shannon Lied to enter into IVY
Promo IVY 315137257 &amp; 592334178
DWA Fee = $10k
DWA Fee TVI Contract 3858747</t>
        </r>
      </text>
    </comment>
    <comment ref="W83" authorId="1" shapeId="0" xr:uid="{00000000-0006-0000-0000-00009E000000}">
      <text>
        <r>
          <rPr>
            <sz val="11"/>
            <color theme="1"/>
            <rFont val="Calibri"/>
            <scheme val="minor"/>
          </rPr>
          <t>3/20 Confirmed
20% off Baby Food
Ad Fee = $25K,  TVI Contract 3850733</t>
        </r>
      </text>
    </comment>
    <comment ref="AB83" authorId="1" shapeId="0" xr:uid="{00000000-0006-0000-0000-00009F000000}">
      <text>
        <r>
          <rPr>
            <sz val="11"/>
            <color theme="1"/>
            <rFont val="Calibri"/>
            <scheme val="minor"/>
          </rPr>
          <t>2/17 Confirmed
BOGO 25% off entire Brand, Show 6
Total Ad Fee = $50K, split evenly by 5 depts
D7 Ad Fee = $10K</t>
        </r>
      </text>
    </comment>
    <comment ref="AK83" authorId="1" shapeId="0" xr:uid="{00000000-0006-0000-0000-0000A0000000}">
      <text>
        <r>
          <rPr>
            <sz val="11"/>
            <color theme="1"/>
            <rFont val="Calibri"/>
            <scheme val="minor"/>
          </rPr>
          <t>CONFIRMED
4/17 Confirmed it's a Show 6, $50 total fee, split by dept. 
D7 DWA Fee $10K</t>
        </r>
      </text>
    </comment>
    <comment ref="AP83" authorId="1" shapeId="0" xr:uid="{00000000-0006-0000-0000-0000A1000000}">
      <text>
        <r>
          <rPr>
            <sz val="11"/>
            <color theme="1"/>
            <rFont val="Calibri"/>
            <scheme val="minor"/>
          </rPr>
          <t xml:space="preserve">4/17 Amanda reached out about opp $25K fee, declined
</t>
        </r>
      </text>
    </comment>
    <comment ref="P84" authorId="1" shapeId="0" xr:uid="{00000000-0006-0000-0000-0000A2000000}">
      <text>
        <r>
          <rPr>
            <sz val="11"/>
            <color theme="1"/>
            <rFont val="Calibri"/>
            <scheme val="minor"/>
          </rPr>
          <t>VOP Offer ID 708117908
Submitted 1/28 to support CSTI
2/17 Rejected due to DWA stacking</t>
        </r>
      </text>
    </comment>
    <comment ref="P85" authorId="1" shapeId="0" xr:uid="{00000000-0006-0000-0000-0000A3000000}">
      <text>
        <r>
          <rPr>
            <sz val="11"/>
            <color theme="1"/>
            <rFont val="Calibri"/>
            <scheme val="minor"/>
          </rPr>
          <t>VOP Offer ID 708117908
Submitted 1/28 to support CSTI
2/17 Rejected due to DWA stacking</t>
        </r>
      </text>
    </comment>
    <comment ref="P86" authorId="1" shapeId="0" xr:uid="{00000000-0006-0000-0000-0000A4000000}">
      <text>
        <r>
          <rPr>
            <sz val="11"/>
            <color theme="1"/>
            <rFont val="Calibri"/>
            <scheme val="minor"/>
          </rPr>
          <t>VOP Offer ID 708117908
Submitted 1/28 to support CSTI
2/17 Rejected due to DWA stacking</t>
        </r>
      </text>
    </comment>
    <comment ref="P87" authorId="1" shapeId="0" xr:uid="{00000000-0006-0000-0000-0000A5000000}">
      <text>
        <r>
          <rPr>
            <sz val="11"/>
            <color theme="1"/>
            <rFont val="Calibri"/>
            <scheme val="minor"/>
          </rPr>
          <t>VOP Offer ID 708117908
Submitted 1/28 to support CSTI
2/17 Rejected due to DWA stacking</t>
        </r>
      </text>
    </comment>
    <comment ref="Q88" authorId="1" shapeId="0" xr:uid="{00000000-0006-0000-0000-0000A6000000}">
      <text>
        <r>
          <rPr>
            <sz val="11"/>
            <color theme="1"/>
            <rFont val="Calibri"/>
            <scheme val="minor"/>
          </rPr>
          <t>VOP Offer ID 796793247
Submitted 2/6</t>
        </r>
      </text>
    </comment>
    <comment ref="W88" authorId="1" shapeId="0" xr:uid="{00000000-0006-0000-0000-0000A7000000}">
      <text>
        <r>
          <rPr>
            <sz val="11"/>
            <color theme="1"/>
            <rFont val="Calibri"/>
            <scheme val="minor"/>
          </rPr>
          <t>VOP Offer ID 727789095
Submitted 2/6
2/17 canceled offer to avoid stacking with DWA MST01001424</t>
        </r>
      </text>
    </comment>
    <comment ref="AA88" authorId="1" shapeId="0" xr:uid="{00000000-0006-0000-0000-0000A8000000}">
      <text>
        <r>
          <rPr>
            <sz val="11"/>
            <color theme="1"/>
            <rFont val="Calibri"/>
            <scheme val="minor"/>
          </rPr>
          <t>VOP Offer ID 529328228
Submitted 2/6</t>
        </r>
      </text>
    </comment>
    <comment ref="K89" authorId="1" shapeId="0" xr:uid="{00000000-0006-0000-0000-0000A9000000}">
      <text>
        <r>
          <rPr>
            <sz val="11"/>
            <color theme="1"/>
            <rFont val="Calibri"/>
            <scheme val="minor"/>
          </rPr>
          <t>VOP Offer ID 674488544
Submitted 11/13
Will be rejected 12/17 due to two week rule</t>
        </r>
      </text>
    </comment>
    <comment ref="L89" authorId="1" shapeId="0" xr:uid="{00000000-0006-0000-0000-0000AA000000}">
      <text>
        <r>
          <rPr>
            <sz val="11"/>
            <color theme="1"/>
            <rFont val="Calibri"/>
            <scheme val="minor"/>
          </rPr>
          <t>VOP Offer ID 141350542 for 3/29-4/4
Submitted 11/13
Will be Rejected 12/17 in lieu of 2/$8 cospace Promo IVY</t>
        </r>
      </text>
    </comment>
    <comment ref="Q89" authorId="1" shapeId="0" xr:uid="{00000000-0006-0000-0000-0000AB000000}">
      <text>
        <r>
          <rPr>
            <sz val="11"/>
            <color theme="1"/>
            <rFont val="Calibri"/>
            <scheme val="minor"/>
          </rPr>
          <t>VOP Offer ID 796793247
Submitted 2/6</t>
        </r>
      </text>
    </comment>
    <comment ref="W89" authorId="1" shapeId="0" xr:uid="{00000000-0006-0000-0000-0000AC000000}">
      <text>
        <r>
          <rPr>
            <sz val="11"/>
            <color theme="1"/>
            <rFont val="Calibri"/>
            <scheme val="minor"/>
          </rPr>
          <t>VOP Offer ID 727789095
Submitted 2/6
2/17 canceled offer to avoid stacking with DWA MST01001424</t>
        </r>
      </text>
    </comment>
    <comment ref="AA89" authorId="1" shapeId="0" xr:uid="{00000000-0006-0000-0000-0000AD000000}">
      <text>
        <r>
          <rPr>
            <sz val="11"/>
            <color theme="1"/>
            <rFont val="Calibri"/>
            <scheme val="minor"/>
          </rPr>
          <t>VOP Offer ID 529328228
Submitted 2/6</t>
        </r>
      </text>
    </comment>
    <comment ref="AI91" authorId="1" shapeId="0" xr:uid="{00000000-0006-0000-0000-0000AE000000}">
      <text>
        <r>
          <rPr>
            <sz val="11"/>
            <color theme="1"/>
            <rFont val="Calibri"/>
            <scheme val="minor"/>
          </rPr>
          <t>VOP Offer ID 408184985
Submitted 4/24</t>
        </r>
      </text>
    </comment>
    <comment ref="AJ91" authorId="1" shapeId="0" xr:uid="{00000000-0006-0000-0000-0000AF000000}">
      <text>
        <r>
          <rPr>
            <sz val="11"/>
            <color theme="1"/>
            <rFont val="Calibri"/>
            <scheme val="minor"/>
          </rPr>
          <t>VOP Offer ID 262272564
Submitted 4/24</t>
        </r>
      </text>
    </comment>
    <comment ref="AM91" authorId="1" shapeId="0" xr:uid="{00000000-0006-0000-0000-0000B0000000}">
      <text>
        <r>
          <rPr>
            <sz val="11"/>
            <color theme="1"/>
            <rFont val="Calibri"/>
            <scheme val="minor"/>
          </rPr>
          <t>VOP Offer ID 684784270
Submitted 4/24</t>
        </r>
      </text>
    </comment>
    <comment ref="AP91" authorId="1" shapeId="0" xr:uid="{00000000-0006-0000-0000-0000B1000000}">
      <text>
        <r>
          <rPr>
            <sz val="11"/>
            <color theme="1"/>
            <rFont val="Calibri"/>
            <scheme val="minor"/>
          </rPr>
          <t>VOP Offer ID 697502101
Submitted 4/24</t>
        </r>
      </text>
    </comment>
    <comment ref="K92" authorId="1" shapeId="0" xr:uid="{00000000-0006-0000-0000-0000B2000000}">
      <text>
        <r>
          <rPr>
            <sz val="11"/>
            <color theme="1"/>
            <rFont val="Calibri"/>
            <scheme val="minor"/>
          </rPr>
          <t xml:space="preserve">Offer ID 345526242
Submitted 10/31
Rejected 11/13
ID 571189767
Submitted 11/13
Approved 2/9
3/12: Target moved from Mar wk 4 to Apr wk 1
</t>
        </r>
      </text>
    </comment>
    <comment ref="L92" authorId="1" shapeId="0" xr:uid="{00000000-0006-0000-0000-0000B3000000}">
      <text>
        <r>
          <rPr>
            <sz val="11"/>
            <color theme="1"/>
            <rFont val="Calibri"/>
            <scheme val="minor"/>
          </rPr>
          <t>VOP Offer ID 953114583
Submitted 11/13
Approved 2/9</t>
        </r>
      </text>
    </comment>
    <comment ref="M92" authorId="1" shapeId="0" xr:uid="{00000000-0006-0000-0000-0000B4000000}">
      <text>
        <r>
          <rPr>
            <sz val="11"/>
            <color theme="1"/>
            <rFont val="Calibri"/>
            <scheme val="minor"/>
          </rPr>
          <t xml:space="preserve">Offer ID 345526242
Submitted 10/31
Rejected 11/13
ID 571189767
Submitted 11/13
Approved 2/9
3/12: Target moved promo from Mar wk 4 to Apr wk 1
</t>
        </r>
      </text>
    </comment>
    <comment ref="Q92" authorId="1" shapeId="0" xr:uid="{00000000-0006-0000-0000-0000B5000000}">
      <text>
        <r>
          <rPr>
            <sz val="11"/>
            <color theme="1"/>
            <rFont val="Calibri"/>
            <scheme val="minor"/>
          </rPr>
          <t>VOP Offer ID  286042965 
Submitted 2/6</t>
        </r>
      </text>
    </comment>
    <comment ref="W92" authorId="1" shapeId="0" xr:uid="{00000000-0006-0000-0000-0000B6000000}">
      <text>
        <r>
          <rPr>
            <sz val="11"/>
            <color theme="1"/>
            <rFont val="Calibri"/>
            <scheme val="minor"/>
          </rPr>
          <t>VOP Offer ID 727789095
Submitted 2/6
2/17 canceled offer to avoid stacking with DWA MST01001424</t>
        </r>
      </text>
    </comment>
    <comment ref="AA92" authorId="1" shapeId="0" xr:uid="{00000000-0006-0000-0000-0000B7000000}">
      <text>
        <r>
          <rPr>
            <sz val="11"/>
            <color theme="1"/>
            <rFont val="Calibri"/>
            <scheme val="minor"/>
          </rPr>
          <t>VOP Offer ID 529328228
Submitted 2/6</t>
        </r>
      </text>
    </comment>
    <comment ref="AI92" authorId="1" shapeId="0" xr:uid="{00000000-0006-0000-0000-0000B8000000}">
      <text>
        <r>
          <rPr>
            <sz val="11"/>
            <color theme="1"/>
            <rFont val="Calibri"/>
            <scheme val="minor"/>
          </rPr>
          <t>VOP Offer ID 337039652
Submitted 4/24</t>
        </r>
      </text>
    </comment>
    <comment ref="AJ92" authorId="1" shapeId="0" xr:uid="{00000000-0006-0000-0000-0000B9000000}">
      <text>
        <r>
          <rPr>
            <sz val="11"/>
            <color theme="1"/>
            <rFont val="Calibri"/>
            <scheme val="minor"/>
          </rPr>
          <t>VOP Offer ID 672529896
Submitted 4/24</t>
        </r>
      </text>
    </comment>
    <comment ref="AM92" authorId="1" shapeId="0" xr:uid="{00000000-0006-0000-0000-0000BA000000}">
      <text>
        <r>
          <rPr>
            <sz val="11"/>
            <color theme="1"/>
            <rFont val="Calibri"/>
            <scheme val="minor"/>
          </rPr>
          <t>VOP Offer ID 117354426
Submitted 4/24</t>
        </r>
      </text>
    </comment>
    <comment ref="AP92" authorId="1" shapeId="0" xr:uid="{00000000-0006-0000-0000-0000BB000000}">
      <text>
        <r>
          <rPr>
            <sz val="11"/>
            <color theme="1"/>
            <rFont val="Calibri"/>
            <scheme val="minor"/>
          </rPr>
          <t>VOP Offer ID 153169563
Submitted 4/24</t>
        </r>
      </text>
    </comment>
    <comment ref="Q94" authorId="1" shapeId="0" xr:uid="{00000000-0006-0000-0000-0000BC000000}">
      <text>
        <r>
          <rPr>
            <sz val="11"/>
            <color theme="1"/>
            <rFont val="Calibri"/>
            <scheme val="minor"/>
          </rPr>
          <t>VOP Offer ID 573094370 
Submitted 2/6</t>
        </r>
      </text>
    </comment>
    <comment ref="W94" authorId="1" shapeId="0" xr:uid="{00000000-0006-0000-0000-0000BD000000}">
      <text>
        <r>
          <rPr>
            <sz val="11"/>
            <color theme="1"/>
            <rFont val="Calibri"/>
            <scheme val="minor"/>
          </rPr>
          <t>VOP Offer ID 727789095
Submitted 2/6
2/17 canceled offer to avoid stacking with DWA MST01001424</t>
        </r>
      </text>
    </comment>
    <comment ref="AA94" authorId="1" shapeId="0" xr:uid="{00000000-0006-0000-0000-0000BE000000}">
      <text>
        <r>
          <rPr>
            <sz val="11"/>
            <color theme="1"/>
            <rFont val="Calibri"/>
            <scheme val="minor"/>
          </rPr>
          <t>VOP Offer ID 529328228
Submitted 2/6</t>
        </r>
      </text>
    </comment>
    <comment ref="AH95" authorId="1" shapeId="0" xr:uid="{00000000-0006-0000-0000-0000BF000000}">
      <text>
        <r>
          <rPr>
            <sz val="11"/>
            <color theme="1"/>
            <rFont val="Calibri"/>
            <scheme val="minor"/>
          </rPr>
          <t>Melts, PB Puffs and Pinchable Puffs launching in line</t>
        </r>
      </text>
    </comment>
    <comment ref="D96" authorId="1" shapeId="0" xr:uid="{00000000-0006-0000-0000-0000C0000000}">
      <text>
        <r>
          <rPr>
            <sz val="11"/>
            <color theme="1"/>
            <rFont val="Calibri"/>
            <scheme val="minor"/>
          </rPr>
          <t xml:space="preserve">CONFIRMED
</t>
        </r>
      </text>
    </comment>
    <comment ref="O98" authorId="1" shapeId="0" xr:uid="{00000000-0006-0000-0000-0000C1000000}">
      <text>
        <r>
          <rPr>
            <sz val="11"/>
            <color theme="1"/>
            <rFont val="Calibri"/>
            <scheme val="minor"/>
          </rPr>
          <t>F&amp;B team driven, confirmed 2/12
Shannon Lied to enter into IVY
DWA Fee = $5k for each week (Total D71)
DWA Fee TVI Contract 3860037</t>
        </r>
      </text>
    </comment>
    <comment ref="P98" authorId="1" shapeId="0" xr:uid="{00000000-0006-0000-0000-0000C2000000}">
      <text>
        <r>
          <rPr>
            <sz val="11"/>
            <color theme="1"/>
            <rFont val="Calibri"/>
            <scheme val="minor"/>
          </rPr>
          <t>F&amp;B team driven, confirmed 2/12
Shannon Lied to enter into IVY
DWA Fee = $5k for each week (Total D71)
DWA Fee TVI Contract 3860035</t>
        </r>
      </text>
    </comment>
    <comment ref="AB98" authorId="1" shapeId="0" xr:uid="{00000000-0006-0000-0000-0000C3000000}">
      <text>
        <r>
          <rPr>
            <sz val="11"/>
            <color theme="1"/>
            <rFont val="Calibri"/>
            <scheme val="minor"/>
          </rPr>
          <t>2/17 Confirmed
BOGO 25% off entire Brand, Show 6
Total Ad Fee = $50K, split evenly by 5 depts
D71 Ad Fee = $10K</t>
        </r>
      </text>
    </comment>
    <comment ref="AK98" authorId="1" shapeId="0" xr:uid="{00000000-0006-0000-0000-0000C4000000}">
      <text>
        <r>
          <rPr>
            <sz val="11"/>
            <color theme="1"/>
            <rFont val="Calibri"/>
            <scheme val="minor"/>
          </rPr>
          <t>CONFIRMED
4/17 Confirmed it's a Show 6, $50 total fee, split by dept. 
Show Oatbakes and Puzzlers
D71 DWA Fee $10K</t>
        </r>
      </text>
    </comment>
    <comment ref="P99" authorId="1" shapeId="0" xr:uid="{00000000-0006-0000-0000-0000C5000000}">
      <text>
        <r>
          <rPr>
            <sz val="11"/>
            <color theme="1"/>
            <rFont val="Calibri"/>
            <scheme val="minor"/>
          </rPr>
          <t>VOP Offer ID 782915396 
Submitted 1/28 to support CSTI
2/17 canceled to avoid stacking with DWA MST01001405</t>
        </r>
      </text>
    </comment>
    <comment ref="S101" authorId="1" shapeId="0" xr:uid="{00000000-0006-0000-0000-0000C6000000}">
      <text>
        <r>
          <rPr>
            <sz val="11"/>
            <color theme="1"/>
            <rFont val="Calibri"/>
            <scheme val="minor"/>
          </rPr>
          <t>VOP Offer ID 373783658
Submitted 2/6</t>
        </r>
      </text>
    </comment>
    <comment ref="W101" authorId="1" shapeId="0" xr:uid="{00000000-0006-0000-0000-0000C7000000}">
      <text>
        <r>
          <rPr>
            <sz val="11"/>
            <color theme="1"/>
            <rFont val="Calibri"/>
            <scheme val="minor"/>
          </rPr>
          <t>VOP Offer ID 993031455
Submitted 2/6</t>
        </r>
      </text>
    </comment>
    <comment ref="AA101" authorId="1" shapeId="0" xr:uid="{00000000-0006-0000-0000-0000C8000000}">
      <text>
        <r>
          <rPr>
            <sz val="11"/>
            <color theme="1"/>
            <rFont val="Calibri"/>
            <scheme val="minor"/>
          </rPr>
          <t xml:space="preserve">VOP Offer ID 935514398 
Submitted 2/6
</t>
        </r>
      </text>
    </comment>
    <comment ref="X102" authorId="1" shapeId="0" xr:uid="{00000000-0006-0000-0000-0000C9000000}">
      <text>
        <r>
          <rPr>
            <sz val="11"/>
            <color theme="1"/>
            <rFont val="Calibri"/>
            <scheme val="minor"/>
          </rPr>
          <t>VOP Offer ID 347710532
Submitted 2/6</t>
        </r>
      </text>
    </comment>
    <comment ref="Y102" authorId="1" shapeId="0" xr:uid="{00000000-0006-0000-0000-0000CA000000}">
      <text>
        <r>
          <rPr>
            <sz val="11"/>
            <color theme="1"/>
            <rFont val="Calibri"/>
            <scheme val="minor"/>
          </rPr>
          <t>VOP Offer ID 242245507
Submitted 2/6</t>
        </r>
      </text>
    </comment>
    <comment ref="AA102" authorId="1" shapeId="0" xr:uid="{00000000-0006-0000-0000-0000CB000000}">
      <text>
        <r>
          <rPr>
            <sz val="11"/>
            <color theme="1"/>
            <rFont val="Calibri"/>
            <scheme val="minor"/>
          </rPr>
          <t>VOP Offer ID 935514398 
Submitted 2/6</t>
        </r>
      </text>
    </comment>
    <comment ref="V103" authorId="1" shapeId="0" xr:uid="{00000000-0006-0000-0000-0000CC000000}">
      <text>
        <r>
          <rPr>
            <sz val="11"/>
            <color theme="1"/>
            <rFont val="Calibri"/>
            <scheme val="minor"/>
          </rPr>
          <t>Fruit Puzzlers launching</t>
        </r>
      </text>
    </comment>
    <comment ref="O105" authorId="1" shapeId="0" xr:uid="{00000000-0006-0000-0000-0000CD000000}">
      <text>
        <r>
          <rPr>
            <sz val="11"/>
            <color theme="1"/>
            <rFont val="Calibri"/>
            <scheme val="minor"/>
          </rPr>
          <t xml:space="preserve">F&amp;B team driven, confirmed 2/12
Shannon Lied to enter into IVY
DWA Fees collected under Lunchbox TVI Contracts
</t>
        </r>
      </text>
    </comment>
    <comment ref="AB105" authorId="1" shapeId="0" xr:uid="{00000000-0006-0000-0000-0000CE000000}">
      <text>
        <r>
          <rPr>
            <sz val="11"/>
            <color theme="1"/>
            <rFont val="Calibri"/>
            <scheme val="minor"/>
          </rPr>
          <t>2/17 Confirmed
BOGO 25% off entire Brand, Show 6
Total Ad Fee = $50K, split evenly by 5 depts
D71 Ad Fee = $10K</t>
        </r>
      </text>
    </comment>
    <comment ref="P106" authorId="1" shapeId="0" xr:uid="{00000000-0006-0000-0000-0000CF000000}">
      <text>
        <r>
          <rPr>
            <sz val="11"/>
            <color theme="1"/>
            <rFont val="Calibri"/>
            <scheme val="minor"/>
          </rPr>
          <t>VOP Offer ID 782915396 
Submitted 1/28 to support CSTI
2/17 canceled to avoid stacking with DWA MST01001405</t>
        </r>
      </text>
    </comment>
    <comment ref="D107" authorId="1" shapeId="0" xr:uid="{00000000-0006-0000-0000-0000D0000000}">
      <text>
        <r>
          <rPr>
            <sz val="11"/>
            <color theme="1"/>
            <rFont val="Calibri"/>
            <scheme val="minor"/>
          </rPr>
          <t>ID 519221594
Submitted 11/21
Approved 12/19</t>
        </r>
      </text>
    </comment>
    <comment ref="E107" authorId="1" shapeId="0" xr:uid="{00000000-0006-0000-0000-0000D1000000}">
      <text>
        <r>
          <rPr>
            <sz val="11"/>
            <color theme="1"/>
            <rFont val="Calibri"/>
            <scheme val="minor"/>
          </rPr>
          <t>ID 849512379
Submitted 11/21
Approved 12/19</t>
        </r>
      </text>
    </comment>
    <comment ref="K107" authorId="1" shapeId="0" xr:uid="{00000000-0006-0000-0000-0000D2000000}">
      <text>
        <r>
          <rPr>
            <sz val="11"/>
            <color theme="1"/>
            <rFont val="Calibri"/>
            <scheme val="minor"/>
          </rPr>
          <t>ID 310151127
Submitted 11/21
Approved 12/19</t>
        </r>
      </text>
    </comment>
    <comment ref="L107" authorId="1" shapeId="0" xr:uid="{00000000-0006-0000-0000-0000D3000000}">
      <text>
        <r>
          <rPr>
            <sz val="11"/>
            <color theme="1"/>
            <rFont val="Calibri"/>
            <scheme val="minor"/>
          </rPr>
          <t>ID 297754544
Submitted 11/21
Approved 12/19</t>
        </r>
      </text>
    </comment>
    <comment ref="M107" authorId="1" shapeId="0" xr:uid="{00000000-0006-0000-0000-0000D4000000}">
      <text>
        <r>
          <rPr>
            <sz val="11"/>
            <color theme="1"/>
            <rFont val="Calibri"/>
            <scheme val="minor"/>
          </rPr>
          <t>VOP Offer ID 183830953
Submitted 3/13
Not approved, submitted too close in</t>
        </r>
      </text>
    </comment>
    <comment ref="Q107" authorId="1" shapeId="0" xr:uid="{00000000-0006-0000-0000-0000D5000000}">
      <text>
        <r>
          <rPr>
            <sz val="11"/>
            <color theme="1"/>
            <rFont val="Calibri"/>
            <scheme val="minor"/>
          </rPr>
          <t>VOP Offer ID 614186484
Submitted 3/13
3/16 Approved</t>
        </r>
      </text>
    </comment>
    <comment ref="S107" authorId="1" shapeId="0" xr:uid="{00000000-0006-0000-0000-0000D6000000}">
      <text>
        <r>
          <rPr>
            <sz val="11"/>
            <color theme="1"/>
            <rFont val="Calibri"/>
            <scheme val="minor"/>
          </rPr>
          <t>VOP Offer ID 373783658
Submitted 2/6</t>
        </r>
      </text>
    </comment>
    <comment ref="T107" authorId="1" shapeId="0" xr:uid="{00000000-0006-0000-0000-0000D7000000}">
      <text>
        <r>
          <rPr>
            <sz val="11"/>
            <color theme="1"/>
            <rFont val="Calibri"/>
            <scheme val="minor"/>
          </rPr>
          <t>VOP Offer ID 944619962
Submitted 3/13
Approved 3/16</t>
        </r>
      </text>
    </comment>
    <comment ref="W107" authorId="1" shapeId="0" xr:uid="{00000000-0006-0000-0000-0000D8000000}">
      <text>
        <r>
          <rPr>
            <sz val="11"/>
            <color theme="1"/>
            <rFont val="Calibri"/>
            <scheme val="minor"/>
          </rPr>
          <t>VOP Offer ID 993031455
Submitted 2/6</t>
        </r>
      </text>
    </comment>
    <comment ref="AA107" authorId="1" shapeId="0" xr:uid="{00000000-0006-0000-0000-0000D9000000}">
      <text>
        <r>
          <rPr>
            <sz val="11"/>
            <color theme="1"/>
            <rFont val="Calibri"/>
            <scheme val="minor"/>
          </rPr>
          <t>VOP Offer ID 935514398 
Submitted 2/6</t>
        </r>
      </text>
    </comment>
  </commentList>
</comments>
</file>

<file path=xl/sharedStrings.xml><?xml version="1.0" encoding="utf-8"?>
<sst xmlns="http://schemas.openxmlformats.org/spreadsheetml/2006/main" count="581" uniqueCount="302">
  <si>
    <t>SuperBowl/Valentines</t>
  </si>
  <si>
    <t>Easter peak</t>
  </si>
  <si>
    <t>Easter 4/20</t>
  </si>
  <si>
    <t>Mother's Day</t>
  </si>
  <si>
    <t>Memorial Day</t>
  </si>
  <si>
    <t>Father's Day</t>
  </si>
  <si>
    <t>4th of July peak</t>
  </si>
  <si>
    <t>Labor Day</t>
  </si>
  <si>
    <t>Halloween</t>
  </si>
  <si>
    <t>Thanksgiving</t>
  </si>
  <si>
    <t>X-Mas</t>
  </si>
  <si>
    <t>NYE</t>
  </si>
  <si>
    <t>Feb wk 1</t>
  </si>
  <si>
    <t>Feb wk 2</t>
  </si>
  <si>
    <t>Feb wk 3</t>
  </si>
  <si>
    <t>Feb wk 4</t>
  </si>
  <si>
    <t>March wk 1</t>
  </si>
  <si>
    <t>March wk 2</t>
  </si>
  <si>
    <t>March wk 3</t>
  </si>
  <si>
    <t>March wk 4</t>
  </si>
  <si>
    <t>March wk 5</t>
  </si>
  <si>
    <t>April wk 1</t>
  </si>
  <si>
    <t>April wk 2</t>
  </si>
  <si>
    <t>April wk 3</t>
  </si>
  <si>
    <t>April wk 4</t>
  </si>
  <si>
    <t>May wk 1</t>
  </si>
  <si>
    <t>May wk 2</t>
  </si>
  <si>
    <t>May wk 3</t>
  </si>
  <si>
    <t>May wk 4</t>
  </si>
  <si>
    <t>June Wk 1</t>
  </si>
  <si>
    <t>June Wk 2</t>
  </si>
  <si>
    <t>June Wk 3</t>
  </si>
  <si>
    <t>June Wk 4</t>
  </si>
  <si>
    <t xml:space="preserve">June Wk 5 </t>
  </si>
  <si>
    <t>July Wk 1</t>
  </si>
  <si>
    <t>July Wk 2</t>
  </si>
  <si>
    <t>July Wk 3</t>
  </si>
  <si>
    <t>July Wk 4</t>
  </si>
  <si>
    <t>Aug Wk 1</t>
  </si>
  <si>
    <t>Aug Wk 2</t>
  </si>
  <si>
    <t>Aug Wk 3</t>
  </si>
  <si>
    <t>Aug Wk 4</t>
  </si>
  <si>
    <t>Sept Wk 1</t>
  </si>
  <si>
    <t>Sept Wk 2</t>
  </si>
  <si>
    <t>Sept Wk 3</t>
  </si>
  <si>
    <t>Sept Wk 4</t>
  </si>
  <si>
    <t>Sept Wk 5</t>
  </si>
  <si>
    <t>Oct Wk 1</t>
  </si>
  <si>
    <t>Oct Wk 2</t>
  </si>
  <si>
    <t>Oct Wk 3</t>
  </si>
  <si>
    <t>Oct Wk 4</t>
  </si>
  <si>
    <t>Nov Wk 1</t>
  </si>
  <si>
    <t>Nov Wk 2</t>
  </si>
  <si>
    <t>Nov Wk 3</t>
  </si>
  <si>
    <t>Nov Wk 4</t>
  </si>
  <si>
    <t>Dec Wk 1</t>
  </si>
  <si>
    <t>Dec Wk 2</t>
  </si>
  <si>
    <t>Dec Wk 3</t>
  </si>
  <si>
    <t>Dec Wk 4</t>
  </si>
  <si>
    <t>Dec Wk 5</t>
  </si>
  <si>
    <t>Jan Wk 1</t>
  </si>
  <si>
    <t>Jan Wk 2</t>
  </si>
  <si>
    <t>Jan Wk 3</t>
  </si>
  <si>
    <t>Jan Wk 4</t>
  </si>
  <si>
    <t>WEEK OF</t>
  </si>
  <si>
    <t>KMG can execute with once aligned</t>
  </si>
  <si>
    <t>Smoothies singles $3.49</t>
  </si>
  <si>
    <t>Smoothie</t>
  </si>
  <si>
    <t>Reset</t>
  </si>
  <si>
    <t>Smoothies Launch</t>
  </si>
  <si>
    <t>Smoothies Co Space</t>
  </si>
  <si>
    <t xml:space="preserve">Smoothie + YOGO | Store Count: 212 (284-SW1)
Dates: 9.7 – 10.4 (4 weeks)
Space fee D284: $15,264 | Space fee D211: $25,440
</t>
  </si>
  <si>
    <t>Smoothies singles TPC</t>
  </si>
  <si>
    <r>
      <rPr>
        <sz val="10"/>
        <color theme="1"/>
        <rFont val="Century Gothic"/>
      </rPr>
      <t xml:space="preserve">2/$6 TPC:  Co-space stores only - </t>
    </r>
    <r>
      <rPr>
        <sz val="10"/>
        <color rgb="FFFF0000"/>
        <rFont val="Century Gothic"/>
      </rPr>
      <t>NOT APPROVED</t>
    </r>
  </si>
  <si>
    <t>2/$6 MM TPC - CONFIRMED</t>
  </si>
  <si>
    <t>2/$6 MM TPC</t>
  </si>
  <si>
    <t>3/$9 MM TPC - Approved</t>
  </si>
  <si>
    <t>Category BOGO25% - Target driven</t>
  </si>
  <si>
    <t>2/$5 MM TPC - Approved</t>
  </si>
  <si>
    <t>Smoothies singles Circle</t>
  </si>
  <si>
    <t>DWA 10% off - Show 6 - CONFIRMED</t>
  </si>
  <si>
    <t>DWA Circle Week 20% off- CONFIRMED</t>
  </si>
  <si>
    <t>DWA BOGO25% - CONFIRMED</t>
  </si>
  <si>
    <t>DWA Circle 10% off</t>
  </si>
  <si>
    <t>BOGO 50% off Circle - Approved</t>
  </si>
  <si>
    <t xml:space="preserve">Little Spoon BOGO 25% off all categories.   Approved                 </t>
  </si>
  <si>
    <t>Smoothies 4pks $11.99</t>
  </si>
  <si>
    <t>Smoothies 4pks TPC</t>
  </si>
  <si>
    <r>
      <rPr>
        <sz val="10"/>
        <color theme="1"/>
        <rFont val="Century Gothic"/>
      </rPr>
      <t xml:space="preserve">$2 Off TPC:  Co-sace stores only - </t>
    </r>
    <r>
      <rPr>
        <sz val="10"/>
        <color rgb="FFFF0000"/>
        <rFont val="Century Gothic"/>
      </rPr>
      <t>NOT APPROVED</t>
    </r>
  </si>
  <si>
    <t>$2 off TPC - CONFIRMED</t>
  </si>
  <si>
    <t>$2 off TPC</t>
  </si>
  <si>
    <t>$11.19 TPC - Approved</t>
  </si>
  <si>
    <t>Smoothies 4pks Circle</t>
  </si>
  <si>
    <t>Yogos
$3.49</t>
  </si>
  <si>
    <t>Yogos</t>
  </si>
  <si>
    <t>Yogo's Launch</t>
  </si>
  <si>
    <t>YOGO Co Space</t>
  </si>
  <si>
    <t xml:space="preserve">Smoothie + YOGO | Store Count: 212 (284-SW1)
Dates: 9.7 – 10.4 (4 weeks)
Space fee D284: $15,264 | Space fee D211: $25,440
</t>
  </si>
  <si>
    <t>Yogo TPC</t>
  </si>
  <si>
    <r>
      <rPr>
        <sz val="10"/>
        <color theme="1"/>
        <rFont val="Century Gothic"/>
      </rPr>
      <t xml:space="preserve">2/$6 TPC:  Co-space stores only - </t>
    </r>
    <r>
      <rPr>
        <sz val="10"/>
        <color rgb="FFFF0000"/>
        <rFont val="Century Gothic"/>
      </rPr>
      <t>NOT APPROVED</t>
    </r>
  </si>
  <si>
    <t>Yogo Circle</t>
  </si>
  <si>
    <t>Yogos 4pks
$11.99</t>
  </si>
  <si>
    <t>Yogo 4pks TPC</t>
  </si>
  <si>
    <r>
      <rPr>
        <sz val="10"/>
        <color theme="1"/>
        <rFont val="Century Gothic"/>
      </rPr>
      <t>$2 Off TPC:  Co-sace stores only -</t>
    </r>
    <r>
      <rPr>
        <sz val="10"/>
        <color rgb="FFFF0000"/>
        <rFont val="Century Gothic"/>
      </rPr>
      <t xml:space="preserve"> NOT APPROVED</t>
    </r>
  </si>
  <si>
    <t>$2 off TPC - Approved</t>
  </si>
  <si>
    <t>Yogo 4pks Circle</t>
  </si>
  <si>
    <t>Baby Puffs $4.99</t>
  </si>
  <si>
    <t>Baby</t>
  </si>
  <si>
    <t>Baby Launch</t>
  </si>
  <si>
    <t>Baby Puffs Co Space</t>
  </si>
  <si>
    <t xml:space="preserve">BABY, SNACKS &amp; BARS: 994 Stores  (071-EI1) | 9/7 -  10/25 (7wks) | Co-space fee =  $92,773.33 (Baby only) | CONFIRMED
</t>
  </si>
  <si>
    <t>BABY &amp; BARS|  882 stores |   1/4-4/11 (14wks) | Puffs 2/$8, Cereal 2/$10 |   Co-space fee = $13,230 |   CONFIRMED</t>
  </si>
  <si>
    <t>Baby Puff TPC</t>
  </si>
  <si>
    <t>2/$8 TPC - CONFIRMED</t>
  </si>
  <si>
    <t>2/$8 TPC</t>
  </si>
  <si>
    <t>2/$8 MM TPC co-space stores only</t>
  </si>
  <si>
    <t>Baby Puffs Circle</t>
  </si>
  <si>
    <t>DWA Circle Week 20% off - CONFIRMED</t>
  </si>
  <si>
    <t>DWA Baby Category Targeted Circle Offer</t>
  </si>
  <si>
    <t>DWA New Baby Brands</t>
  </si>
  <si>
    <t>Baby Cereal $5.79</t>
  </si>
  <si>
    <t>Baby Cereal Co Space</t>
  </si>
  <si>
    <t xml:space="preserve">BABY, SNACKS &amp; BARS:  994 Stores  (071-EI1) | 9/7 -  10/25 (7wks) | Co-space fee =  $92,773.33 (Baby only) |  CONFIRMED
</t>
  </si>
  <si>
    <t>Baby Cereal TPC</t>
  </si>
  <si>
    <t>2/$10 TPC - Confirmed</t>
  </si>
  <si>
    <t>2/$10 MM TPC co-space stores only</t>
  </si>
  <si>
    <t>Baby Cereal Circle</t>
  </si>
  <si>
    <t>Frozen 
reg:$9.99
mic: LITS</t>
  </si>
  <si>
    <t>Frozen</t>
  </si>
  <si>
    <t xml:space="preserve">Frozen Display Launch </t>
  </si>
  <si>
    <t>In-Line Set Date</t>
  </si>
  <si>
    <t>Frozen Co Space</t>
  </si>
  <si>
    <t>Frozen | Store Count: 234 (270-AS1)   | 9/7-10/4
Sales Plan Fee: $15* store * shelf * week = ($15*234*3*4) = $42,120</t>
  </si>
  <si>
    <t>Frozen TPC</t>
  </si>
  <si>
    <t>$2 off TPC - Confirmed</t>
  </si>
  <si>
    <t>$2 off TPC -  APPROVED</t>
  </si>
  <si>
    <t>$3 off TPC</t>
  </si>
  <si>
    <t>Frozen Circle</t>
  </si>
  <si>
    <t xml:space="preserve">BOGO 50% off Circle - Approved </t>
  </si>
  <si>
    <t>Bars $5.99</t>
  </si>
  <si>
    <t>Bars</t>
  </si>
  <si>
    <t>Bars Launch</t>
  </si>
  <si>
    <t>DWA 2/$10 - Confirmed</t>
  </si>
  <si>
    <t>Bars Co Space</t>
  </si>
  <si>
    <t xml:space="preserve">BABY, SNACKS &amp; BARS: 994 Stores  (071-EI1) | 9/7 -  10/25 (7wks) | Co-space fee =  $92,773.33 (Bars only) | CONFIRMED
</t>
  </si>
  <si>
    <t>BABY &amp; BARS|  800 stores |   1/4-4/11 (14wks) |  Bars $2/10 | Co-space fee = $8,820 |   CONFIRMED</t>
  </si>
  <si>
    <t>Bars TPC</t>
  </si>
  <si>
    <t>Bars Circle</t>
  </si>
  <si>
    <t>Loops $5.99</t>
  </si>
  <si>
    <t>Loops</t>
  </si>
  <si>
    <t>Loops Launch</t>
  </si>
  <si>
    <t>Loops Co Space</t>
  </si>
  <si>
    <t xml:space="preserve">BABY, SNACKS &amp; BARS: 994 Stores  (071-EI1) | 9/7 -  10/25 (7wks) | Co-space fee =  $92,773.33 (Loops only) | CONFIRMED
</t>
  </si>
  <si>
    <t>Loops TPC</t>
  </si>
  <si>
    <t xml:space="preserve">2/$10 MM TPC All Stores - Approved </t>
  </si>
  <si>
    <t>Loops Circle</t>
  </si>
  <si>
    <t>Sampling</t>
  </si>
  <si>
    <t>50 store sampling test</t>
  </si>
  <si>
    <t>Target Marketing (roundel) Programatic</t>
  </si>
  <si>
    <t>Search</t>
  </si>
  <si>
    <t>Search Always On</t>
  </si>
  <si>
    <t>You as a Brand need to Execute &amp; KMG can help make connections and advise</t>
  </si>
  <si>
    <t>Aisles or Fetch or ibotta (rewards platform)</t>
  </si>
  <si>
    <t>Trial &amp; Awareness focused Aisle program</t>
  </si>
  <si>
    <t>PR</t>
  </si>
  <si>
    <t>PR Blitz starts start 10/5 (wait until all are launched)</t>
  </si>
  <si>
    <t>Influencer</t>
  </si>
  <si>
    <t>Target Specific Influncer Blitz</t>
  </si>
  <si>
    <t>Target Specific Influncer Blitz on 4pk / new flavor</t>
  </si>
  <si>
    <t>TikTok / Meta</t>
  </si>
  <si>
    <t>Amplified ad for Target</t>
  </si>
  <si>
    <t>OOH</t>
  </si>
  <si>
    <t>Didgital (LS)</t>
  </si>
  <si>
    <t>Digital (Roundel)</t>
  </si>
  <si>
    <t>Streaming</t>
  </si>
  <si>
    <t>Google Search</t>
  </si>
  <si>
    <t>Google Search Always on</t>
  </si>
  <si>
    <t>Email Blast to Current Subscribers</t>
  </si>
  <si>
    <t>Email blast</t>
  </si>
  <si>
    <t>Social Post on LS</t>
  </si>
  <si>
    <t>Social post</t>
  </si>
  <si>
    <t>Box Drop-ins to LS shipments</t>
  </si>
  <si>
    <t>Box Drop-ins</t>
  </si>
  <si>
    <t>June Wk 5</t>
  </si>
  <si>
    <t>Superbowl 2/8</t>
  </si>
  <si>
    <t>Easter 4/5</t>
  </si>
  <si>
    <t>Car Seat Trade In</t>
  </si>
  <si>
    <t>Mother's Day 5/10</t>
  </si>
  <si>
    <t>Memorial Day 5/25</t>
  </si>
  <si>
    <t>Father's Day 6/21</t>
  </si>
  <si>
    <t>4th of July</t>
  </si>
  <si>
    <t>Circle Week?</t>
  </si>
  <si>
    <t>Labor Day 9/7</t>
  </si>
  <si>
    <t>Christmas</t>
  </si>
  <si>
    <t>RTS</t>
  </si>
  <si>
    <t>Co-Space</t>
  </si>
  <si>
    <t>D211 Smoothie</t>
  </si>
  <si>
    <t>Proposed Co-space Smoothies &amp; Yogos</t>
  </si>
  <si>
    <t>Proposed Co-space Smooothis &amp; Yogos</t>
  </si>
  <si>
    <t>DWA</t>
  </si>
  <si>
    <t>DWA 15% off CONFIRMED</t>
  </si>
  <si>
    <t>BOGO 25% off DWA CONFIRMED</t>
  </si>
  <si>
    <t>Total Brand DWA BOGO 25%</t>
  </si>
  <si>
    <t xml:space="preserve">Total Brand BOGO 25% DWA </t>
  </si>
  <si>
    <t>Circle: Singles</t>
  </si>
  <si>
    <t>BOGO 25% off REJECTED</t>
  </si>
  <si>
    <t>BOGO 25% - Canceled</t>
  </si>
  <si>
    <t>Brand driven Circle offers no longer an option</t>
  </si>
  <si>
    <t>Circle: 4pks</t>
  </si>
  <si>
    <t>TPC: Singles</t>
  </si>
  <si>
    <t>2/$6 MM APPROVED</t>
  </si>
  <si>
    <t>3/$9 - APPROVED</t>
  </si>
  <si>
    <t>BOGO 25% APPROVED</t>
  </si>
  <si>
    <t>10% OFF - SUBMITTED</t>
  </si>
  <si>
    <t>TPC in Cospace</t>
  </si>
  <si>
    <t>TPC: 4pks</t>
  </si>
  <si>
    <t>$9.99 APPROVED</t>
  </si>
  <si>
    <t>$10.99 - APPROVED</t>
  </si>
  <si>
    <t>Other</t>
  </si>
  <si>
    <t xml:space="preserve">Category BOGO 50% </t>
  </si>
  <si>
    <t>POG RESET</t>
  </si>
  <si>
    <t>Category BOGO 25</t>
  </si>
  <si>
    <t>D284 Yogos</t>
  </si>
  <si>
    <t>Proposed Co-space Smothies &amp; Yogos</t>
  </si>
  <si>
    <t>Total Brand BOGO 25% DWA</t>
  </si>
  <si>
    <t>20% off DWA</t>
  </si>
  <si>
    <t>BOGO 25% off Canceled</t>
  </si>
  <si>
    <t>3/$9 APPROVED</t>
  </si>
  <si>
    <t>Will be deleted</t>
  </si>
  <si>
    <t>$10.99 APPROVED</t>
  </si>
  <si>
    <t>10% OFF REJECTED</t>
  </si>
  <si>
    <t>Category 4pks  BOGO 50%</t>
  </si>
  <si>
    <t>D270 Frozen</t>
  </si>
  <si>
    <t>CONFIRMED: P2 co-space | 1,812 stores| 6 weeks | $8.99 promo | Co-space Fee = Reinvested</t>
  </si>
  <si>
    <t>CONFIRMED: P4 Cospace | 1531 stores, MSC 270-M | 4 weeks | $8.99 | Co-space Fee = Reinvested</t>
  </si>
  <si>
    <t>Proposed Cospace</t>
  </si>
  <si>
    <r>
      <rPr>
        <sz val="10"/>
        <color rgb="FF000000"/>
        <rFont val="&quot;Century Gothic&quot;, sans-serif"/>
      </rPr>
      <t xml:space="preserve">PENDING |P4 Salesplan | 9/13-10/31, 7wks | 1513 stores| </t>
    </r>
    <r>
      <rPr>
        <sz val="10"/>
        <color rgb="FFFF0000"/>
        <rFont val="&quot;Century Gothic&quot;, sans-serif"/>
      </rPr>
      <t>Fee = $417,963 pending reinvestement into Roundel |</t>
    </r>
    <r>
      <rPr>
        <sz val="10"/>
        <color rgb="FF000000"/>
        <rFont val="&quot;Century Gothic&quot;, sans-serif"/>
      </rPr>
      <t xml:space="preserve">  Includes NEW Breakfast Items |</t>
    </r>
  </si>
  <si>
    <t>Circle</t>
  </si>
  <si>
    <t>BOGO 25% off APPROVED</t>
  </si>
  <si>
    <t>TPC</t>
  </si>
  <si>
    <t>$8.99 Co-space Only</t>
  </si>
  <si>
    <t>$9.49 APPROVED</t>
  </si>
  <si>
    <t>10% OFF APPROVED</t>
  </si>
  <si>
    <t>BOGO</t>
  </si>
  <si>
    <t>TPC in Co-space</t>
  </si>
  <si>
    <t>POG Reset</t>
  </si>
  <si>
    <t>D7 Baby</t>
  </si>
  <si>
    <t>CONFIRMED: BABY &amp; BARS | 1/4-4/11 (14wks) | 800 stores | 2/$8 Puffs, 2/$10 Cereal &amp; Oatbakes | Co-space Fee = $13,230</t>
  </si>
  <si>
    <t>Proposed Co-space in F&amp;B</t>
  </si>
  <si>
    <t>CONFRIMED Co-space w/PB Puffs and Melts ~ 900 STORES</t>
  </si>
  <si>
    <t>Proposed Co-space w/Pinchable Puffs</t>
  </si>
  <si>
    <t>20% off Baby Food DWA Confirmed</t>
  </si>
  <si>
    <t>Circle: Puffs</t>
  </si>
  <si>
    <t>BOGO 25% - Rejected</t>
  </si>
  <si>
    <t>Circle: Stellar Puffs</t>
  </si>
  <si>
    <t>can't promote</t>
  </si>
  <si>
    <t>Circle: Little Bites</t>
  </si>
  <si>
    <t>Circle: Cereal</t>
  </si>
  <si>
    <t>TPC: Puffs</t>
  </si>
  <si>
    <t>2/$8 Co-space Only</t>
  </si>
  <si>
    <t>don't promote</t>
  </si>
  <si>
    <t>2/$8 co-space only</t>
  </si>
  <si>
    <t>2/$8 APPROVED</t>
  </si>
  <si>
    <t>BOGO 25% canceled</t>
  </si>
  <si>
    <t>2/$9 TPC in Co-space</t>
  </si>
  <si>
    <t>TPC: Stellar Puffs</t>
  </si>
  <si>
    <t>TPC: PB Puffs</t>
  </si>
  <si>
    <t>TPC: Pinchable Puffs</t>
  </si>
  <si>
    <t>2/$9 TPC SUBMTTED</t>
  </si>
  <si>
    <t>2/$9 TPC SUBMITTED</t>
  </si>
  <si>
    <t>TPC: Fruit &amp; Veggie Minis</t>
  </si>
  <si>
    <t>2/$15 MM - APPROVED</t>
  </si>
  <si>
    <t>2/$15 APPROVED</t>
  </si>
  <si>
    <t>2/$16 TPC SUBMITTED</t>
  </si>
  <si>
    <t>TPC: Melts</t>
  </si>
  <si>
    <t>2/$12 TPC in Co-space</t>
  </si>
  <si>
    <t>TPC: Cereal</t>
  </si>
  <si>
    <t>2/$10 Co-space Only</t>
  </si>
  <si>
    <t>2/$10 co-space only</t>
  </si>
  <si>
    <t>2/$10 APPROVED</t>
  </si>
  <si>
    <t>Category Offer CSTI</t>
  </si>
  <si>
    <t>Baby Dept Fully Scaled  Offer</t>
  </si>
  <si>
    <t>Baby Dept Fully Scaled Offer</t>
  </si>
  <si>
    <t>D71-20 Lunchbox                   D71-18 Fruit Snacks</t>
  </si>
  <si>
    <t>CONFIRMED: BABY &amp; BARS | 1/4-4/11 (14wks) | 800 stores | 2/$8 Puffs, 2/$10 Cereal &amp; Oatbakes | Co-space Fee = $8,820</t>
  </si>
  <si>
    <t>Proposed Co-space  Oatbakes 2/$10 and Fruit Puzzlers</t>
  </si>
  <si>
    <t>CB2 Space Cart 311 stores?</t>
  </si>
  <si>
    <t>Circle: Oatbakes</t>
  </si>
  <si>
    <t>Circle: Fruit Puzzlers</t>
  </si>
  <si>
    <t>TPC: Oatbakes</t>
  </si>
  <si>
    <t>2/$10 TPC co-space only</t>
  </si>
  <si>
    <t>TPC: Fruit Puzzlers</t>
  </si>
  <si>
    <t>Can't promote</t>
  </si>
  <si>
    <t>$8.99 APPROVED</t>
  </si>
  <si>
    <t>D71-06 BFY Salty</t>
  </si>
  <si>
    <t>Circle: Loops</t>
  </si>
  <si>
    <t>TPC: Loops</t>
  </si>
  <si>
    <t>$4.99 APPROVED</t>
  </si>
  <si>
    <t>2/$10 SUBMITTED</t>
  </si>
  <si>
    <t>NCF</t>
  </si>
  <si>
    <t>POG Reset - Loops NCF</t>
  </si>
  <si>
    <t>D231 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</si>
</sst>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&quot;$&quot;#,##0.00"/>
  </numFmts>
  <fonts count="32">
    <font>
      <sz val="11"/>
      <color theme="1"/>
      <name val="Calibri"/>
      <scheme val="minor"/>
    </font>
    <font>
      <sz val="10"/>
      <color theme="1"/>
      <name val="Century Gothic"/>
    </font>
    <font>
      <b/>
      <sz val="26"/>
      <color theme="1"/>
      <name val="Century Gothic"/>
    </font>
    <font>
      <b/>
      <sz val="20"/>
      <color rgb="FFC00000"/>
      <name val="Century Gothic"/>
    </font>
    <font>
      <sz val="10"/>
      <color theme="0"/>
      <name val="Century Gothic"/>
    </font>
    <font>
      <sz val="10"/>
      <color rgb="FFFFFFFF"/>
      <name val="Century Gothic"/>
    </font>
    <font>
      <b/>
      <sz val="10"/>
      <color theme="0"/>
      <name val="Century Gothic"/>
    </font>
    <font>
      <sz val="11"/>
      <name val="Calibri"/>
    </font>
    <font>
      <sz val="8"/>
      <color theme="1"/>
      <name val="Century Gothic"/>
    </font>
    <font>
      <sz val="11"/>
      <color theme="1"/>
      <name val="Calibri"/>
    </font>
    <font>
      <sz val="9"/>
      <color theme="1"/>
      <name val="Century Gothic"/>
    </font>
    <font>
      <sz val="9"/>
      <color theme="1"/>
      <name val="Calibri"/>
      <scheme val="minor"/>
    </font>
    <font>
      <sz val="11"/>
      <color theme="1"/>
      <name val="Century Gothic"/>
    </font>
    <font>
      <strike/>
      <sz val="8"/>
      <color theme="1"/>
      <name val="Century Gothic"/>
    </font>
    <font>
      <sz val="11"/>
      <color theme="1"/>
      <name val="Calibri"/>
      <scheme val="minor"/>
    </font>
    <font>
      <strike/>
      <sz val="10"/>
      <color theme="1"/>
      <name val="Century Gothic"/>
    </font>
    <font>
      <sz val="10"/>
      <color theme="1"/>
      <name val="Calibri"/>
      <scheme val="minor"/>
    </font>
    <font>
      <b/>
      <sz val="22"/>
      <color rgb="FFFF0000"/>
      <name val="&quot;Century Gothic&quot;"/>
    </font>
    <font>
      <b/>
      <sz val="10"/>
      <color rgb="FFC00000"/>
      <name val="&quot;Century Gothic&quot;"/>
    </font>
    <font>
      <sz val="10"/>
      <color rgb="FF000000"/>
      <name val="&quot;Century Gothic&quot;"/>
    </font>
    <font>
      <sz val="10"/>
      <color rgb="FFFFFFFF"/>
      <name val="&quot;Century Gothic&quot;"/>
    </font>
    <font>
      <sz val="8"/>
      <color theme="1"/>
      <name val="Calibri"/>
      <scheme val="minor"/>
    </font>
    <font>
      <sz val="11"/>
      <color rgb="FF000000"/>
      <name val="&quot;Century Gothic&quot;"/>
    </font>
    <font>
      <strike/>
      <sz val="10"/>
      <color rgb="FF000000"/>
      <name val="&quot;Century Gothic&quot;"/>
    </font>
    <font>
      <sz val="9"/>
      <color rgb="FF000000"/>
      <name val="&quot;Century Gothic&quot;"/>
    </font>
    <font>
      <strike/>
      <sz val="9"/>
      <color rgb="FF000000"/>
      <name val="&quot;Century Gothic&quot;"/>
    </font>
    <font>
      <i/>
      <sz val="7"/>
      <color rgb="FF000000"/>
      <name val="&quot;Century Gothic&quot;"/>
    </font>
    <font>
      <sz val="10"/>
      <color rgb="FF000000"/>
      <name val="Calibri"/>
    </font>
    <font>
      <i/>
      <sz val="10"/>
      <color rgb="FF000000"/>
      <name val="&quot;Century Gothic&quot;"/>
    </font>
    <font>
      <sz val="10"/>
      <color rgb="FFFF0000"/>
      <name val="Century Gothic"/>
    </font>
    <font>
      <sz val="10"/>
      <color rgb="FF000000"/>
      <name val="&quot;Century Gothic&quot;, sans-serif"/>
    </font>
    <font>
      <sz val="10"/>
      <color rgb="FFFF0000"/>
      <name val="&quot;Century Gothic&quot;, sans-serif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00FF00"/>
        <bgColor rgb="FF00F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14" fontId="5" fillId="4" borderId="10" xfId="0" applyNumberFormat="1" applyFont="1" applyFill="1" applyBorder="1" applyAlignment="1">
      <alignment horizontal="center" wrapText="1"/>
    </xf>
    <xf numFmtId="14" fontId="4" fillId="4" borderId="10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14" fontId="4" fillId="5" borderId="12" xfId="0" applyNumberFormat="1" applyFont="1" applyFill="1" applyBorder="1" applyAlignment="1">
      <alignment horizontal="center" wrapText="1"/>
    </xf>
    <xf numFmtId="14" fontId="4" fillId="5" borderId="10" xfId="0" applyNumberFormat="1" applyFont="1" applyFill="1" applyBorder="1" applyAlignment="1">
      <alignment horizontal="center" wrapText="1"/>
    </xf>
    <xf numFmtId="14" fontId="4" fillId="5" borderId="13" xfId="0" applyNumberFormat="1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10" fillId="9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8" fillId="8" borderId="10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10" xfId="0" applyFont="1" applyBorder="1"/>
    <xf numFmtId="0" fontId="1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0" xfId="0" applyFont="1" applyFill="1" applyBorder="1"/>
    <xf numFmtId="0" fontId="1" fillId="4" borderId="12" xfId="0" applyFont="1" applyFill="1" applyBorder="1"/>
    <xf numFmtId="0" fontId="1" fillId="4" borderId="23" xfId="0" applyFont="1" applyFill="1" applyBorder="1" applyAlignment="1">
      <alignment horizontal="center" vertical="center" wrapText="1"/>
    </xf>
    <xf numFmtId="0" fontId="9" fillId="4" borderId="23" xfId="0" applyFont="1" applyFill="1" applyBorder="1"/>
    <xf numFmtId="0" fontId="9" fillId="4" borderId="9" xfId="0" applyFont="1" applyFill="1" applyBorder="1"/>
    <xf numFmtId="0" fontId="1" fillId="4" borderId="1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0" borderId="10" xfId="0" applyFont="1" applyBorder="1"/>
    <xf numFmtId="0" fontId="1" fillId="0" borderId="1" xfId="0" applyFont="1" applyBorder="1"/>
    <xf numFmtId="0" fontId="1" fillId="6" borderId="10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0" borderId="14" xfId="0" applyFont="1" applyBorder="1"/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6" fillId="0" borderId="0" xfId="0" applyFont="1"/>
    <xf numFmtId="0" fontId="17" fillId="11" borderId="10" xfId="0" applyFont="1" applyFill="1" applyBorder="1" applyAlignment="1">
      <alignment horizontal="center"/>
    </xf>
    <xf numFmtId="0" fontId="18" fillId="11" borderId="3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20" fillId="11" borderId="16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20" fillId="5" borderId="34" xfId="0" applyFont="1" applyFill="1" applyBorder="1" applyAlignment="1">
      <alignment horizontal="center"/>
    </xf>
    <xf numFmtId="0" fontId="20" fillId="5" borderId="34" xfId="0" applyFont="1" applyFill="1" applyBorder="1" applyAlignment="1">
      <alignment horizontal="center" wrapText="1"/>
    </xf>
    <xf numFmtId="0" fontId="20" fillId="5" borderId="30" xfId="0" applyFont="1" applyFill="1" applyBorder="1" applyAlignment="1">
      <alignment horizontal="center"/>
    </xf>
    <xf numFmtId="0" fontId="20" fillId="11" borderId="18" xfId="0" applyFont="1" applyFill="1" applyBorder="1" applyAlignment="1">
      <alignment horizontal="center"/>
    </xf>
    <xf numFmtId="0" fontId="20" fillId="11" borderId="32" xfId="0" applyFont="1" applyFill="1" applyBorder="1" applyAlignment="1">
      <alignment horizontal="center"/>
    </xf>
    <xf numFmtId="14" fontId="20" fillId="11" borderId="10" xfId="0" applyNumberFormat="1" applyFont="1" applyFill="1" applyBorder="1" applyAlignment="1">
      <alignment horizontal="center"/>
    </xf>
    <xf numFmtId="0" fontId="21" fillId="0" borderId="0" xfId="0" applyFont="1" applyAlignment="1">
      <alignment vertical="center"/>
    </xf>
    <xf numFmtId="0" fontId="22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wrapText="1"/>
    </xf>
    <xf numFmtId="0" fontId="22" fillId="0" borderId="3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4" fillId="13" borderId="10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wrapText="1"/>
    </xf>
    <xf numFmtId="0" fontId="22" fillId="0" borderId="10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5" fillId="7" borderId="10" xfId="0" applyFont="1" applyFill="1" applyBorder="1" applyAlignment="1">
      <alignment horizontal="center" vertical="center" wrapText="1"/>
    </xf>
    <xf numFmtId="0" fontId="23" fillId="7" borderId="10" xfId="0" applyFont="1" applyFill="1" applyBorder="1" applyAlignment="1">
      <alignment horizontal="center" vertical="center" wrapText="1"/>
    </xf>
    <xf numFmtId="0" fontId="26" fillId="5" borderId="10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4" fillId="5" borderId="36" xfId="0" applyFont="1" applyFill="1" applyBorder="1"/>
    <xf numFmtId="0" fontId="19" fillId="5" borderId="10" xfId="0" applyFont="1" applyFill="1" applyBorder="1" applyAlignment="1">
      <alignment horizontal="center" wrapText="1"/>
    </xf>
    <xf numFmtId="0" fontId="22" fillId="5" borderId="10" xfId="0" applyFont="1" applyFill="1" applyBorder="1" applyAlignment="1">
      <alignment horizontal="center"/>
    </xf>
    <xf numFmtId="0" fontId="22" fillId="5" borderId="32" xfId="0" applyFont="1" applyFill="1" applyBorder="1" applyAlignment="1">
      <alignment horizontal="center"/>
    </xf>
    <xf numFmtId="0" fontId="19" fillId="0" borderId="30" xfId="0" applyFont="1" applyBorder="1" applyAlignment="1">
      <alignment horizontal="center" vertical="center" wrapText="1"/>
    </xf>
    <xf numFmtId="0" fontId="27" fillId="5" borderId="0" xfId="0" applyFont="1" applyFill="1" applyAlignment="1">
      <alignment vertical="center" wrapText="1"/>
    </xf>
    <xf numFmtId="0" fontId="14" fillId="5" borderId="35" xfId="0" applyFont="1" applyFill="1" applyBorder="1"/>
    <xf numFmtId="0" fontId="19" fillId="13" borderId="36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/>
    </xf>
    <xf numFmtId="164" fontId="19" fillId="13" borderId="36" xfId="0" applyNumberFormat="1" applyFont="1" applyFill="1" applyBorder="1" applyAlignment="1">
      <alignment horizontal="center" vertical="center" wrapText="1"/>
    </xf>
    <xf numFmtId="165" fontId="19" fillId="13" borderId="2" xfId="0" applyNumberFormat="1" applyFont="1" applyFill="1" applyBorder="1" applyAlignment="1">
      <alignment horizontal="center" vertical="center" wrapText="1"/>
    </xf>
    <xf numFmtId="165" fontId="19" fillId="13" borderId="10" xfId="0" applyNumberFormat="1" applyFont="1" applyFill="1" applyBorder="1" applyAlignment="1">
      <alignment horizontal="center" vertical="center" wrapText="1"/>
    </xf>
    <xf numFmtId="165" fontId="19" fillId="9" borderId="10" xfId="0" applyNumberFormat="1" applyFont="1" applyFill="1" applyBorder="1" applyAlignment="1">
      <alignment horizontal="center" vertical="center" wrapText="1"/>
    </xf>
    <xf numFmtId="165" fontId="19" fillId="0" borderId="10" xfId="0" applyNumberFormat="1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0" fontId="19" fillId="0" borderId="39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9" fillId="14" borderId="39" xfId="0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center" wrapText="1"/>
    </xf>
    <xf numFmtId="0" fontId="22" fillId="0" borderId="39" xfId="0" applyFont="1" applyBorder="1" applyAlignment="1">
      <alignment horizontal="center"/>
    </xf>
    <xf numFmtId="0" fontId="19" fillId="0" borderId="32" xfId="0" applyFont="1" applyBorder="1" applyAlignment="1">
      <alignment vertical="center" wrapText="1"/>
    </xf>
    <xf numFmtId="0" fontId="19" fillId="0" borderId="36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7" borderId="32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wrapText="1"/>
    </xf>
    <xf numFmtId="0" fontId="25" fillId="7" borderId="36" xfId="0" applyFont="1" applyFill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14" fillId="5" borderId="0" xfId="0" applyFont="1" applyFill="1"/>
    <xf numFmtId="0" fontId="19" fillId="5" borderId="3" xfId="0" applyFont="1" applyFill="1" applyBorder="1" applyAlignment="1">
      <alignment horizontal="center" vertical="center" wrapText="1"/>
    </xf>
    <xf numFmtId="165" fontId="19" fillId="13" borderId="36" xfId="0" applyNumberFormat="1" applyFont="1" applyFill="1" applyBorder="1" applyAlignment="1">
      <alignment horizontal="center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165" fontId="19" fillId="9" borderId="3" xfId="0" applyNumberFormat="1" applyFont="1" applyFill="1" applyBorder="1" applyAlignment="1">
      <alignment horizontal="center" vertical="center" wrapText="1"/>
    </xf>
    <xf numFmtId="0" fontId="19" fillId="18" borderId="39" xfId="0" applyFont="1" applyFill="1" applyBorder="1" applyAlignment="1">
      <alignment horizontal="center" vertical="center" wrapText="1"/>
    </xf>
    <xf numFmtId="0" fontId="19" fillId="7" borderId="39" xfId="0" applyFont="1" applyFill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14" fillId="0" borderId="36" xfId="0" applyFont="1" applyBorder="1"/>
    <xf numFmtId="0" fontId="19" fillId="5" borderId="36" xfId="0" applyFont="1" applyFill="1" applyBorder="1" applyAlignment="1">
      <alignment horizontal="center" vertical="center" wrapText="1"/>
    </xf>
    <xf numFmtId="0" fontId="27" fillId="5" borderId="10" xfId="0" applyFont="1" applyFill="1" applyBorder="1" applyAlignment="1">
      <alignment vertical="center" wrapText="1"/>
    </xf>
    <xf numFmtId="0" fontId="27" fillId="0" borderId="10" xfId="0" applyFont="1" applyBorder="1" applyAlignment="1">
      <alignment vertical="center" wrapText="1"/>
    </xf>
    <xf numFmtId="0" fontId="14" fillId="0" borderId="2" xfId="0" applyFont="1" applyBorder="1"/>
    <xf numFmtId="0" fontId="14" fillId="0" borderId="35" xfId="0" applyFont="1" applyBorder="1"/>
    <xf numFmtId="0" fontId="19" fillId="0" borderId="29" xfId="0" applyFont="1" applyBorder="1" applyAlignment="1">
      <alignment horizontal="center" vertical="center" wrapText="1"/>
    </xf>
    <xf numFmtId="0" fontId="19" fillId="5" borderId="10" xfId="0" applyFont="1" applyFill="1" applyBorder="1" applyAlignment="1">
      <alignment vertical="center" wrapText="1"/>
    </xf>
    <xf numFmtId="0" fontId="19" fillId="19" borderId="10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wrapText="1"/>
    </xf>
    <xf numFmtId="0" fontId="23" fillId="5" borderId="10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24" fillId="9" borderId="39" xfId="0" applyFont="1" applyFill="1" applyBorder="1" applyAlignment="1">
      <alignment horizontal="center" vertical="center" wrapText="1"/>
    </xf>
    <xf numFmtId="0" fontId="19" fillId="5" borderId="29" xfId="0" applyFont="1" applyFill="1" applyBorder="1" applyAlignment="1">
      <alignment horizontal="center" vertical="center" wrapText="1"/>
    </xf>
    <xf numFmtId="165" fontId="19" fillId="5" borderId="10" xfId="0" applyNumberFormat="1" applyFont="1" applyFill="1" applyBorder="1" applyAlignment="1">
      <alignment horizontal="center" vertical="center" wrapText="1"/>
    </xf>
    <xf numFmtId="0" fontId="28" fillId="5" borderId="10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wrapText="1"/>
    </xf>
    <xf numFmtId="0" fontId="24" fillId="5" borderId="10" xfId="0" applyFont="1" applyFill="1" applyBorder="1" applyAlignment="1">
      <alignment horizontal="center" vertical="center" wrapText="1"/>
    </xf>
    <xf numFmtId="0" fontId="24" fillId="14" borderId="39" xfId="0" applyFont="1" applyFill="1" applyBorder="1" applyAlignment="1">
      <alignment horizontal="center" vertical="center" wrapText="1"/>
    </xf>
    <xf numFmtId="0" fontId="19" fillId="5" borderId="39" xfId="0" applyFont="1" applyFill="1" applyBorder="1" applyAlignment="1">
      <alignment horizontal="center" vertical="center" wrapText="1"/>
    </xf>
    <xf numFmtId="0" fontId="19" fillId="5" borderId="39" xfId="0" applyFont="1" applyFill="1" applyBorder="1" applyAlignment="1">
      <alignment horizontal="center" wrapText="1"/>
    </xf>
    <xf numFmtId="0" fontId="22" fillId="5" borderId="39" xfId="0" applyFont="1" applyFill="1" applyBorder="1" applyAlignment="1">
      <alignment horizontal="center"/>
    </xf>
    <xf numFmtId="0" fontId="19" fillId="5" borderId="18" xfId="0" applyFont="1" applyFill="1" applyBorder="1" applyAlignment="1">
      <alignment vertical="center" wrapText="1"/>
    </xf>
    <xf numFmtId="0" fontId="19" fillId="5" borderId="32" xfId="0" applyFont="1" applyFill="1" applyBorder="1" applyAlignment="1">
      <alignment vertical="center" wrapText="1"/>
    </xf>
    <xf numFmtId="0" fontId="19" fillId="14" borderId="32" xfId="0" applyFont="1" applyFill="1" applyBorder="1" applyAlignment="1">
      <alignment horizontal="center" vertical="center" wrapText="1"/>
    </xf>
    <xf numFmtId="0" fontId="22" fillId="11" borderId="32" xfId="0" applyFont="1" applyFill="1" applyBorder="1" applyAlignment="1">
      <alignment horizontal="center"/>
    </xf>
    <xf numFmtId="0" fontId="22" fillId="11" borderId="32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1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16" xfId="0" applyFont="1" applyBorder="1"/>
    <xf numFmtId="0" fontId="7" fillId="0" borderId="18" xfId="0" applyFont="1" applyBorder="1"/>
    <xf numFmtId="0" fontId="1" fillId="9" borderId="1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1" fillId="6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1" fillId="10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9" fillId="9" borderId="36" xfId="0" applyFont="1" applyFill="1" applyBorder="1" applyAlignment="1">
      <alignment horizontal="center" vertical="center" wrapText="1"/>
    </xf>
    <xf numFmtId="0" fontId="7" fillId="0" borderId="36" xfId="0" applyFont="1" applyBorder="1"/>
    <xf numFmtId="0" fontId="7" fillId="0" borderId="32" xfId="0" applyFont="1" applyBorder="1"/>
    <xf numFmtId="0" fontId="19" fillId="13" borderId="2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20" borderId="36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19" fillId="13" borderId="36" xfId="0" applyFont="1" applyFill="1" applyBorder="1" applyAlignment="1">
      <alignment horizontal="center" vertical="center" wrapText="1"/>
    </xf>
    <xf numFmtId="0" fontId="23" fillId="7" borderId="36" xfId="0" applyFont="1" applyFill="1" applyBorder="1" applyAlignment="1">
      <alignment horizontal="center" vertical="center" wrapText="1"/>
    </xf>
    <xf numFmtId="0" fontId="22" fillId="12" borderId="16" xfId="0" applyFont="1" applyFill="1" applyBorder="1" applyAlignment="1">
      <alignment horizontal="center" vertical="center"/>
    </xf>
    <xf numFmtId="0" fontId="7" fillId="0" borderId="38" xfId="0" applyFont="1" applyBorder="1"/>
    <xf numFmtId="0" fontId="19" fillId="9" borderId="2" xfId="0" applyFont="1" applyFill="1" applyBorder="1" applyAlignment="1">
      <alignment horizontal="center" vertical="center" wrapText="1"/>
    </xf>
    <xf numFmtId="0" fontId="22" fillId="15" borderId="16" xfId="0" applyFont="1" applyFill="1" applyBorder="1" applyAlignment="1">
      <alignment horizontal="center" vertical="center" wrapText="1"/>
    </xf>
    <xf numFmtId="0" fontId="22" fillId="16" borderId="16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 wrapText="1"/>
    </xf>
    <xf numFmtId="0" fontId="7" fillId="0" borderId="21" xfId="0" applyFont="1" applyBorder="1"/>
    <xf numFmtId="0" fontId="7" fillId="0" borderId="22" xfId="0" applyFont="1" applyBorder="1"/>
    <xf numFmtId="0" fontId="1" fillId="0" borderId="29" xfId="0" applyFont="1" applyBorder="1" applyAlignment="1">
      <alignment horizontal="center" vertical="center" wrapText="1"/>
    </xf>
    <xf numFmtId="0" fontId="7" fillId="0" borderId="30" xfId="0" applyFont="1" applyBorder="1"/>
    <xf numFmtId="0" fontId="20" fillId="5" borderId="33" xfId="0" applyFont="1" applyFill="1" applyBorder="1" applyAlignment="1">
      <alignment horizontal="center"/>
    </xf>
    <xf numFmtId="0" fontId="7" fillId="0" borderId="29" xfId="0" applyFont="1" applyBorder="1"/>
    <xf numFmtId="0" fontId="22" fillId="12" borderId="14" xfId="0" applyFont="1" applyFill="1" applyBorder="1" applyAlignment="1">
      <alignment horizontal="center" vertical="center"/>
    </xf>
    <xf numFmtId="0" fontId="22" fillId="15" borderId="16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3" borderId="40" xfId="0" applyFont="1" applyFill="1" applyBorder="1" applyAlignment="1">
      <alignment horizontal="center" vertical="center" wrapText="1"/>
    </xf>
    <xf numFmtId="0" fontId="7" fillId="0" borderId="41" xfId="0" applyFont="1" applyBorder="1"/>
    <xf numFmtId="0" fontId="7" fillId="0" borderId="42" xfId="0" applyFont="1" applyBorder="1"/>
    <xf numFmtId="0" fontId="12" fillId="10" borderId="1" xfId="0" applyFont="1" applyFill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43</xdr:col>
      <xdr:colOff>142875</xdr:colOff>
      <xdr:row>13</xdr:row>
      <xdr:rowOff>95250</xdr:rowOff>
    </xdr:from>
    <xdr:to>
      <xdr:col>47</xdr:col>
      <xdr:colOff>142875</xdr:colOff>
      <xdr:row>21</xdr:row>
      <xdr:rowOff>38100</xdr:rowOff>
    </xdr:to>
    <xdr:sp macro="" textlink="">
      <xdr:nvSpPr>
        <xdr:cNvPr id="1043" name="Text Box 19" hidden="1">
          <a:extLst>
            <a:ext uri="{FF2B5EF4-FFF2-40B4-BE49-F238E27FC236}">
              <a16:creationId xmlns:a16="http://schemas.microsoft.com/office/drawing/2014/main" id="{A9FB0CA8-B7C4-1B97-A073-D8D878477131}"/>
            </a:ext>
          </a:extLst>
        </xdr:cNvPr>
        <xdr:cNvSpPr txBox="1">
          <a:spLocks noChangeArrowheads="1"/>
        </xdr:cNvSpPr>
      </xdr:nvSpPr>
      <xdr:spPr bwMode="auto">
        <a:xfrm>
          <a:off x="37571363" y="5019675"/>
          <a:ext cx="3352800" cy="4533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38</xdr:col>
      <xdr:colOff>142875</xdr:colOff>
      <xdr:row>11</xdr:row>
      <xdr:rowOff>95250</xdr:rowOff>
    </xdr:from>
    <xdr:to>
      <xdr:col>42</xdr:col>
      <xdr:colOff>142875</xdr:colOff>
      <xdr:row>26</xdr:row>
      <xdr:rowOff>38100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1C67B507-5F87-8682-695A-5BE583531D31}"/>
            </a:ext>
          </a:extLst>
        </xdr:cNvPr>
        <xdr:cNvSpPr txBox="1">
          <a:spLocks noChangeArrowheads="1"/>
        </xdr:cNvSpPr>
      </xdr:nvSpPr>
      <xdr:spPr bwMode="auto">
        <a:xfrm>
          <a:off x="33380363" y="3981450"/>
          <a:ext cx="3352800" cy="83534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43</xdr:col>
      <xdr:colOff>142875</xdr:colOff>
      <xdr:row>20</xdr:row>
      <xdr:rowOff>95250</xdr:rowOff>
    </xdr:from>
    <xdr:to>
      <xdr:col>47</xdr:col>
      <xdr:colOff>142875</xdr:colOff>
      <xdr:row>28</xdr:row>
      <xdr:rowOff>38100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55BFB7E8-528E-703F-ABF7-F739A106A628}"/>
            </a:ext>
          </a:extLst>
        </xdr:cNvPr>
        <xdr:cNvSpPr txBox="1">
          <a:spLocks noChangeArrowheads="1"/>
        </xdr:cNvSpPr>
      </xdr:nvSpPr>
      <xdr:spPr bwMode="auto">
        <a:xfrm>
          <a:off x="37571363" y="9029700"/>
          <a:ext cx="3352800" cy="4343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142875</xdr:colOff>
      <xdr:row>24</xdr:row>
      <xdr:rowOff>95250</xdr:rowOff>
    </xdr:from>
    <xdr:to>
      <xdr:col>41</xdr:col>
      <xdr:colOff>142875</xdr:colOff>
      <xdr:row>30</xdr:row>
      <xdr:rowOff>38100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6BED06CE-D233-38A8-A208-88D1DE0AE38D}"/>
            </a:ext>
          </a:extLst>
        </xdr:cNvPr>
        <xdr:cNvSpPr txBox="1">
          <a:spLocks noChangeArrowheads="1"/>
        </xdr:cNvSpPr>
      </xdr:nvSpPr>
      <xdr:spPr bwMode="auto">
        <a:xfrm>
          <a:off x="32542163" y="11229975"/>
          <a:ext cx="3352800" cy="33051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142875</xdr:colOff>
      <xdr:row>24</xdr:row>
      <xdr:rowOff>95250</xdr:rowOff>
    </xdr:from>
    <xdr:to>
      <xdr:col>41</xdr:col>
      <xdr:colOff>142875</xdr:colOff>
      <xdr:row>30</xdr:row>
      <xdr:rowOff>38100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0B8AD332-238C-BDB1-FF7B-47E3BFCD97CE}"/>
            </a:ext>
          </a:extLst>
        </xdr:cNvPr>
        <xdr:cNvSpPr txBox="1">
          <a:spLocks noChangeArrowheads="1"/>
        </xdr:cNvSpPr>
      </xdr:nvSpPr>
      <xdr:spPr bwMode="auto">
        <a:xfrm>
          <a:off x="32542163" y="11229975"/>
          <a:ext cx="3352800" cy="33051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43</xdr:col>
      <xdr:colOff>142875</xdr:colOff>
      <xdr:row>17</xdr:row>
      <xdr:rowOff>95250</xdr:rowOff>
    </xdr:from>
    <xdr:to>
      <xdr:col>47</xdr:col>
      <xdr:colOff>142875</xdr:colOff>
      <xdr:row>25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59D032E-D8B0-EAC7-FF23-E1FDDB4B82FC}"/>
            </a:ext>
          </a:extLst>
        </xdr:cNvPr>
        <xdr:cNvSpPr txBox="1">
          <a:spLocks noChangeArrowheads="1"/>
        </xdr:cNvSpPr>
      </xdr:nvSpPr>
      <xdr:spPr bwMode="auto">
        <a:xfrm>
          <a:off x="37571363" y="7286625"/>
          <a:ext cx="3352800" cy="44672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43</xdr:col>
      <xdr:colOff>142875</xdr:colOff>
      <xdr:row>10</xdr:row>
      <xdr:rowOff>95250</xdr:rowOff>
    </xdr:from>
    <xdr:to>
      <xdr:col>47</xdr:col>
      <xdr:colOff>142875</xdr:colOff>
      <xdr:row>16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DD94B782-6924-B23E-1913-0D7E0E237BBB}"/>
            </a:ext>
          </a:extLst>
        </xdr:cNvPr>
        <xdr:cNvSpPr txBox="1">
          <a:spLocks noChangeArrowheads="1"/>
        </xdr:cNvSpPr>
      </xdr:nvSpPr>
      <xdr:spPr bwMode="auto">
        <a:xfrm>
          <a:off x="37571363" y="3400425"/>
          <a:ext cx="3352800" cy="3371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nee Burks" id="{FB660604-EA51-4200-B733-C8EA46742A21}" userId="" providerId="google-sheets"/>
  <person displayName="Nate Herrington" id="{6FA4A1E8-03A2-43CD-9EF2-FC2FB56B546C}" userId="" providerId="google-sheets"/>
  <person displayName="tc={05631120-D5D9-4573-A90B-2512E9928F8B}" id="{628E6945-DEE9-42FA-959F-34AE7E524194}" userId="" providerId="google-sheets"/>
  <person displayName="tc={38B1B6FC-D232-414A-B873-1B303417DF80}" id="{9A58B4F9-5CAC-4B63-A002-884CF1079F6F}" userId="" providerId="google-sheets"/>
  <person displayName="tc={5C1C69B0-A2B4-4296-A004-4DB36711996E}" id="{EA0FD8DF-463C-4551-B058-B2B0C78DE6B4}" userId="" providerId="google-sheets"/>
  <person displayName="tc={5E889999-1AB7-42D5-AB1B-BB0E0AF45195}" id="{AA0B4E86-64D9-42DB-A323-6D7D3653C92A}" userId="" providerId="google-sheets"/>
  <person displayName="tc={76F15D3E-F72C-4426-9ED8-57B4357EA773}" id="{F98D5A50-436B-4984-A564-5263D243878A}" userId="" providerId="google-sheets"/>
  <person displayName="tc={D6B3FA91-F0D4-4623-A531-ABBFC98ABDD2}" id="{0EFFC9F0-251E-40B7-B18A-A428430A1435}" userId="" providerId="google-sheets"/>
  <person displayName="tc={F1ADECD5-C64D-4512-8461-C73CDB2B80A3}" id="{366028DC-1B3C-4A4B-8409-48FA15103932}" userId="" providerId="google-sheets"/>
  <person displayName="tc={F45B2751-D27C-47C6-B925-E5A77B4CEEBD}" id="{55A37221-D782-4DAA-8573-1C17DEA79911}" userId="" providerId="google-sheets"/>
  <person displayName="harrison.glatt@littlespoon.com" id="{426A422B-17BC-4C73-BAB7-5955905CD537}" userId="harrison.glatt@littlespoon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8" dT="2025-04-12T13:28:03.00" personId="{0EFFC9F0-251E-40B7-B18A-A428430A1435}" id="{46AD3388-50D8-4622-A19B-228DBD53644F}">
    <text>[Threaded comment]
Your version of Excel allows you to read this threaded comment; however, any edits to it will get removed if the file is opened in a newer version of Excel. Learn more: https://go.microsoft.com/fwlink/?linkid=870924
Comment:
    Produce – 8 items (Single Serve pouch, Multipacks)
Single Pouch Distribution - 3 pouches in 1700 stores, 2 additional in Super Targets
Multipacks Distribution - 1 multipack in 1200 stores, 2 additional in Super Targets.  </text>
    <extLst>
      <x:ext xmlns:xltc2="http://schemas.microsoft.com/office/spreadsheetml/2020/threadedcomments2" uri="{F7C98A9C-CBB3-438F-8F68-D28B6AF4A901}">
        <xltc2:checksum>1501410829</xltc2:checksum>
        <xltc2:hyperlink startIndex="189" length="46" url="https://go.microsoft.com/fwlink/?linkid=870924"/>
      </x:ext>
    </extLst>
  </threadedComment>
  <threadedComment ref="AO11" dT="2025-05-19T15:28:43.00" personId="{6FA4A1E8-03A2-43CD-9EF2-FC2FB56B546C}" id="{DB4352DA-C808-4794-82AD-0D652C0DC222}">
    <text>@harrison.glatt@littlespoon.com Target just confirmed that we'll be in the Weekly Ad 10/19-10/25 for Smoothie &amp; Yogos at BOGO 25% off....we originally had a TPC planed for 2wks, so I added the BOGO 25% to the calendar and condensed the original 2 wk offer down to 1 wk</text>
    <mentions>
      <mention mentionpersonId="{426A422B-17BC-4C73-BAB7-5955905CD537}" mentionId="{5F482D45-0C08-423C-941C-7D0371D749DC}" startIndex="0" length="31"/>
    </mentions>
    <extLst>
      <x:ext xmlns:xltc2="http://schemas.microsoft.com/office/spreadsheetml/2020/threadedcomments2" uri="{F7C98A9C-CBB3-438F-8F68-D28B6AF4A901}">
        <xltc2:checksum>2827423611</xltc2:checksum>
        <xltc2:hyperlink startIndex="130" length="9" url="http://off....we"/>
      </x:ext>
    </extLst>
  </threadedComment>
  <threadedComment ref="AK12" dT="2025-04-12T13:28:03.00" personId="{55A37221-D782-4DAA-8573-1C17DEA79911}" id="{CAB17DBA-4AA7-4758-8C7B-861B97502563}">
    <text>[Threaded comment]
Your version of Excel allows you to read this threaded comment; however, any edits to it will get removed if the file is opened in a newer version of Excel. Learn more: https://go.microsoft.com/fwlink/?linkid=870924
Comment:
    Produce – 8 items (Single Serve pouch, Multipacks)
Single Pouch Distribution - 3 pouches in 1700 stores, 2 additional in Super Targets
Multipacks Distribution - 1 multipack in 1200 stores, 2 additional in Super Targets.  </text>
    <extLst>
      <x:ext xmlns:xltc2="http://schemas.microsoft.com/office/spreadsheetml/2020/threadedcomments2" uri="{F7C98A9C-CBB3-438F-8F68-D28B6AF4A901}">
        <xltc2:checksum>1501410829</xltc2:checksum>
        <xltc2:hyperlink startIndex="189" length="46" url="https://go.microsoft.com/fwlink/?linkid=870924"/>
      </x:ext>
    </extLst>
  </threadedComment>
  <threadedComment ref="AH15" dT="2025-04-12T13:28:03.00" personId="{628E6945-DEE9-42FA-959F-34AE7E524194}" id="{13C56BCF-92E5-4A97-ABED-99B882298E8B}">
    <text>[Threaded comment]
Your version of Excel allows you to read this threaded comment; however, any edits to it will get removed if the file is opened in a newer version of Excel. Learn more: https://go.microsoft.com/fwlink/?linkid=870924
Comment:
    Yogurt – 4 items (Multipacks, Single Serve pouch)
2 multipacks (Strawberry 4pk, Apple Berry 4pk). Distribution: 1650 stores.
2 single serve pouches (Strawberry, Mango). Distribution 500 stores.</text>
    <extLst>
      <x:ext xmlns:xltc2="http://schemas.microsoft.com/office/spreadsheetml/2020/threadedcomments2" uri="{F7C98A9C-CBB3-438F-8F68-D28B6AF4A901}">
        <xltc2:checksum>3977811019</xltc2:checksum>
        <xltc2:hyperlink startIndex="189" length="46" url="https://go.microsoft.com/fwlink/?linkid=870924"/>
      </x:ext>
    </extLst>
  </threadedComment>
  <threadedComment ref="AI22" dT="2025-04-12T13:28:03.00" personId="{366028DC-1B3C-4A4B-8409-48FA15103932}" id="{8B12D0F0-F315-451C-83C4-F757CD26BF89}">
    <text>[Threaded comment]
Your version of Excel allows you to read this threaded comment; however, any edits to it will get removed if the file is opened in a newer version of Excel. Learn more: https://go.microsoft.com/fwlink/?linkid=870924
Comment:
    Baby – 3 items (Baby Cereal, Pitaya Rings, Apple Kale Puffs).
Distribution - 1700 stores.</text>
    <extLst>
      <x:ext xmlns:xltc2="http://schemas.microsoft.com/office/spreadsheetml/2020/threadedcomments2" uri="{F7C98A9C-CBB3-438F-8F68-D28B6AF4A901}">
        <xltc2:checksum>1902389437</xltc2:checksum>
        <xltc2:hyperlink startIndex="189" length="46" url="https://go.microsoft.com/fwlink/?linkid=870924"/>
      </x:ext>
    </extLst>
  </threadedComment>
  <threadedComment ref="AI26" dT="2025-04-12T13:28:03.00" personId="{9A58B4F9-5CAC-4B63-A002-884CF1079F6F}" id="{2EF40061-BF29-4650-BBFD-D87ABD991D76}">
    <text>[Threaded comment]
Your version of Excel allows you to read this threaded comment; however, any edits to it will get removed if the file is opened in a newer version of Excel. Learn more: https://go.microsoft.com/fwlink/?linkid=870924
Comment:
    Baby – 3 items (Baby Cereal, Pitaya Rings, Apple Kale Puffs).
Distribution - 1700 stores.</text>
    <extLst>
      <x:ext xmlns:xltc2="http://schemas.microsoft.com/office/spreadsheetml/2020/threadedcomments2" uri="{F7C98A9C-CBB3-438F-8F68-D28B6AF4A901}">
        <xltc2:checksum>1902389437</xltc2:checksum>
        <xltc2:hyperlink startIndex="189" length="46" url="https://go.microsoft.com/fwlink/?linkid=870924"/>
      </x:ext>
    </extLst>
  </threadedComment>
  <threadedComment ref="AJ30" dT="2025-04-12T13:28:03.00" personId="{F98D5A50-436B-4984-A564-5263D243878A}" id="{811F68AD-1AAA-4D81-BE46-C10EA1781A38}">
    <text>[Threaded comment]
Your version of Excel allows you to read this threaded comment; however, any edits to it will get removed if the file is opened in a newer version of Excel. Learn more: https://go.microsoft.com/fwlink/?linkid=870924
Comment:
    Frozen – 3 items (Chicken Dippers, Chicken Kale Sliders, Turkey Meatballs). 
Distribution - 2 items apx 1700 stores, 1 item apx 1200 stores.</text>
    <extLst>
      <x:ext xmlns:xltc2="http://schemas.microsoft.com/office/spreadsheetml/2020/threadedcomments2" uri="{F7C98A9C-CBB3-438F-8F68-D28B6AF4A901}">
        <xltc2:checksum>3903313077</xltc2:checksum>
        <xltc2:hyperlink startIndex="189" length="46" url="https://go.microsoft.com/fwlink/?linkid=870924"/>
      </x:ext>
    </extLst>
  </threadedComment>
  <threadedComment ref="AK34" dT="2025-04-12T13:28:03.00" personId="{EA0FD8DF-463C-4551-B058-B2B0C78DE6B4}" id="{7939B738-B39C-4D51-A293-424EE6E738A9}">
    <text>[Threaded comment]
Your version of Excel allows you to read this threaded comment; however, any edits to it will get removed if the file is opened in a newer version of Excel. Learn more: https://go.microsoft.com/fwlink/?linkid=870924
Comment:
    Lunchbox – 3 items (Chocolate Chip, Blueberry Muffin &amp; Apple Pie Baked Bars).
Distribution – 1600 stores and merchandised on the category lead in.</text>
    <extLst>
      <x:ext xmlns:xltc2="http://schemas.microsoft.com/office/spreadsheetml/2020/threadedcomments2" uri="{F7C98A9C-CBB3-438F-8F68-D28B6AF4A901}">
        <xltc2:checksum>425744028</xltc2:checksum>
        <xltc2:hyperlink startIndex="189" length="46" url="https://go.microsoft.com/fwlink/?linkid=870924"/>
      </x:ext>
    </extLst>
  </threadedComment>
  <threadedComment ref="AK38" dT="2025-04-12T13:28:03.00" personId="{AA0B4E86-64D9-42DB-A323-6D7D3653C92A}" id="{23C774D9-79C5-440C-B7E8-D64AC3B1EEC9}">
    <text>[Threaded comment]
Your version of Excel allows you to read this threaded comment; however, any edits to it will get removed if the file is opened in a newer version of Excel. Learn more: https://go.microsoft.com/fwlink/?linkid=870924
Comment:
    Snacks – 2 items.
Distribution – 350-400 stores.</text>
    <extLst>
      <x:ext xmlns:xltc2="http://schemas.microsoft.com/office/spreadsheetml/2020/threadedcomments2" uri="{F7C98A9C-CBB3-438F-8F68-D28B6AF4A901}">
        <xltc2:checksum>3524182456</xltc2:checksum>
        <xltc2:hyperlink startIndex="189" length="46" url="https://go.microsoft.com/fwlink/?linkid=870924"/>
      </x:ext>
    </extLst>
  </threadedComment>
  <threadedComment ref="B63" dT="2026-04-24T01:55:31.00" personId="{FB660604-EA51-4200-B733-C8EA46742A21}" id="{91078950-DEDA-4D18-BAF7-49A26B42E0B0}">
    <text>Promotions:Display &amp; Advertisements</text>
  </threadedComment>
  <threadedComment ref="B64" dT="2026-04-24T01:55:55.00" personId="{FB660604-EA51-4200-B733-C8EA46742A21}" id="{C4BC9B68-5A0A-47AD-8F9E-EC8B94458413}">
    <text>Scans</text>
  </threadedComment>
  <threadedComment ref="B65" dT="2026-04-24T01:56:00.00" personId="{FB660604-EA51-4200-B733-C8EA46742A21}" id="{CFED5C8A-D7BB-4F5C-890D-EABDD1AB678E}">
    <text>Scans or Promotions</text>
  </threadedComment>
  <threadedComment ref="B66" dT="2026-04-24T01:56:18.00" personId="{FB660604-EA51-4200-B733-C8EA46742A21}" id="{2D3CFE8C-682F-425A-8540-9D2660AC3360}">
    <text>Scans or Promotions</text>
  </threadedComment>
  <threadedComment ref="B68" dT="2026-04-24T01:56:33.00" personId="{FB660604-EA51-4200-B733-C8EA46742A21}" id="{0E7AFDB4-6B8E-4A6D-9D4B-08D9C8924198}">
    <text>Scans or Promotions</text>
  </threadedComment>
  <threadedComment ref="B69" dT="2026-04-24T01:56:41.00" personId="{FB660604-EA51-4200-B733-C8EA46742A21}" id="{05F977A7-6C55-4F75-819C-37FA613CD92A}">
    <text>Scans or Promotions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91"/>
  <sheetViews>
    <sheetView showGridLines="0" tabSelected="1" zoomScale="26" workbookViewId="0">
      <pane xSplit="3" ySplit="62" topLeftCell="D63" activePane="bottomRight" state="frozen"/>
      <selection pane="topRight" activeCell="D1" sqref="D1"/>
      <selection pane="bottomLeft" activeCell="A63" sqref="A63"/>
      <selection pane="bottomRight" activeCell="D63" sqref="D63"/>
    </sheetView>
  </sheetViews>
  <sheetFormatPr defaultColWidth="14.3984375" defaultRowHeight="15" customHeight="1" outlineLevelRow="1" outlineLevelCol="1"/>
  <cols>
    <col min="1" max="1" width="13.265625" customWidth="1"/>
    <col min="2" max="2" width="20" customWidth="1"/>
    <col min="3" max="3" width="18.53125" customWidth="1"/>
    <col min="4" max="11" width="11.73046875" customWidth="1" outlineLevel="1"/>
    <col min="12" max="12" width="13.265625" customWidth="1" outlineLevel="1"/>
    <col min="13" max="23" width="11.73046875" customWidth="1" outlineLevel="1"/>
    <col min="24" max="24" width="13" customWidth="1" outlineLevel="1"/>
    <col min="25" max="31" width="11.73046875" customWidth="1" outlineLevel="1"/>
    <col min="32" max="55" width="11.73046875" customWidth="1"/>
  </cols>
  <sheetData>
    <row r="1" spans="1:55" ht="14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  <c r="AZ1" s="4"/>
      <c r="BA1" s="4"/>
      <c r="BB1" s="4"/>
      <c r="BC1" s="4"/>
    </row>
    <row r="2" spans="1:55" ht="19.5" customHeight="1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4"/>
      <c r="BA2" s="4"/>
      <c r="BB2" s="4"/>
      <c r="BC2" s="4"/>
    </row>
    <row r="3" spans="1:55" ht="23.2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ht="12.75" customHeight="1">
      <c r="B4" s="4"/>
      <c r="C4" s="4"/>
      <c r="D4" s="4"/>
      <c r="E4" s="4" t="s">
        <v>0</v>
      </c>
      <c r="F4" s="4"/>
      <c r="G4" s="4"/>
      <c r="H4" s="4"/>
      <c r="I4" s="4"/>
      <c r="J4" s="4"/>
      <c r="K4" s="4"/>
      <c r="M4" s="4"/>
      <c r="N4" s="4" t="s">
        <v>1</v>
      </c>
      <c r="O4" s="4" t="s">
        <v>2</v>
      </c>
      <c r="P4" s="4"/>
      <c r="Q4" s="4"/>
      <c r="R4" s="4" t="s">
        <v>3</v>
      </c>
      <c r="S4" s="4"/>
      <c r="T4" s="4" t="s">
        <v>4</v>
      </c>
      <c r="U4" s="4"/>
      <c r="V4" s="4"/>
      <c r="W4" s="4" t="s">
        <v>5</v>
      </c>
      <c r="X4" s="4"/>
      <c r="Y4" s="4" t="s">
        <v>6</v>
      </c>
      <c r="Z4" s="4"/>
      <c r="AA4" s="4"/>
      <c r="AB4" s="4"/>
      <c r="AC4" s="4"/>
      <c r="AD4" s="4"/>
      <c r="AE4" s="4"/>
      <c r="AF4" s="4"/>
      <c r="AG4" s="4"/>
      <c r="AH4" s="4" t="s">
        <v>7</v>
      </c>
      <c r="AI4" s="4"/>
      <c r="AJ4" s="4"/>
      <c r="AK4" s="4"/>
      <c r="AL4" s="4"/>
      <c r="AM4" s="4"/>
      <c r="AN4" s="4"/>
      <c r="AO4" s="4"/>
      <c r="AP4" s="4" t="s">
        <v>8</v>
      </c>
      <c r="AQ4" s="4"/>
      <c r="AR4" s="4"/>
      <c r="AS4" s="4"/>
      <c r="AT4" s="4" t="s">
        <v>9</v>
      </c>
      <c r="AU4" s="4"/>
      <c r="AV4" s="4"/>
      <c r="AW4" s="4"/>
      <c r="AX4" s="4" t="s">
        <v>10</v>
      </c>
      <c r="AY4" s="4" t="s">
        <v>11</v>
      </c>
      <c r="AZ4" s="4"/>
      <c r="BA4" s="4"/>
      <c r="BB4" s="4"/>
      <c r="BC4" s="4"/>
    </row>
    <row r="5" spans="1:55" ht="24" customHeight="1">
      <c r="B5" s="6">
        <v>2025</v>
      </c>
      <c r="C5" s="7"/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22</v>
      </c>
      <c r="O5" s="8" t="s">
        <v>23</v>
      </c>
      <c r="P5" s="8" t="s">
        <v>24</v>
      </c>
      <c r="Q5" s="8" t="s">
        <v>25</v>
      </c>
      <c r="R5" s="8" t="s">
        <v>26</v>
      </c>
      <c r="S5" s="8" t="s">
        <v>27</v>
      </c>
      <c r="T5" s="8" t="s">
        <v>28</v>
      </c>
      <c r="U5" s="8" t="s">
        <v>29</v>
      </c>
      <c r="V5" s="8" t="s">
        <v>30</v>
      </c>
      <c r="W5" s="8" t="s">
        <v>31</v>
      </c>
      <c r="X5" s="8" t="s">
        <v>32</v>
      </c>
      <c r="Y5" s="8" t="s">
        <v>33</v>
      </c>
      <c r="Z5" s="8" t="s">
        <v>34</v>
      </c>
      <c r="AA5" s="8" t="s">
        <v>35</v>
      </c>
      <c r="AB5" s="8" t="s">
        <v>36</v>
      </c>
      <c r="AC5" s="8" t="s">
        <v>37</v>
      </c>
      <c r="AD5" s="8" t="s">
        <v>38</v>
      </c>
      <c r="AE5" s="8" t="s">
        <v>39</v>
      </c>
      <c r="AF5" s="8" t="s">
        <v>40</v>
      </c>
      <c r="AG5" s="8" t="s">
        <v>41</v>
      </c>
      <c r="AH5" s="8" t="s">
        <v>42</v>
      </c>
      <c r="AI5" s="8" t="s">
        <v>43</v>
      </c>
      <c r="AJ5" s="8" t="s">
        <v>44</v>
      </c>
      <c r="AK5" s="8" t="s">
        <v>45</v>
      </c>
      <c r="AL5" s="8" t="s">
        <v>46</v>
      </c>
      <c r="AM5" s="8" t="s">
        <v>47</v>
      </c>
      <c r="AN5" s="8" t="s">
        <v>48</v>
      </c>
      <c r="AO5" s="8" t="s">
        <v>49</v>
      </c>
      <c r="AP5" s="8" t="s">
        <v>50</v>
      </c>
      <c r="AQ5" s="8" t="s">
        <v>51</v>
      </c>
      <c r="AR5" s="8" t="s">
        <v>52</v>
      </c>
      <c r="AS5" s="8" t="s">
        <v>53</v>
      </c>
      <c r="AT5" s="8" t="s">
        <v>54</v>
      </c>
      <c r="AU5" s="8" t="s">
        <v>55</v>
      </c>
      <c r="AV5" s="8" t="s">
        <v>56</v>
      </c>
      <c r="AW5" s="8" t="s">
        <v>57</v>
      </c>
      <c r="AX5" s="8" t="s">
        <v>58</v>
      </c>
      <c r="AY5" s="8" t="s">
        <v>59</v>
      </c>
      <c r="AZ5" s="8" t="s">
        <v>60</v>
      </c>
      <c r="BA5" s="8" t="s">
        <v>61</v>
      </c>
      <c r="BB5" s="8" t="s">
        <v>62</v>
      </c>
      <c r="BC5" s="9" t="s">
        <v>63</v>
      </c>
    </row>
    <row r="6" spans="1:55" ht="14.25" customHeight="1">
      <c r="B6" s="10" t="s">
        <v>64</v>
      </c>
      <c r="C6" s="11"/>
      <c r="D6" s="12">
        <v>45690</v>
      </c>
      <c r="E6" s="13">
        <f t="shared" ref="E6:BC6" si="0">D6+7</f>
        <v>45697</v>
      </c>
      <c r="F6" s="13">
        <f t="shared" si="0"/>
        <v>45704</v>
      </c>
      <c r="G6" s="13">
        <f t="shared" si="0"/>
        <v>45711</v>
      </c>
      <c r="H6" s="13">
        <f t="shared" si="0"/>
        <v>45718</v>
      </c>
      <c r="I6" s="13">
        <f t="shared" si="0"/>
        <v>45725</v>
      </c>
      <c r="J6" s="13">
        <f t="shared" si="0"/>
        <v>45732</v>
      </c>
      <c r="K6" s="13">
        <f t="shared" si="0"/>
        <v>45739</v>
      </c>
      <c r="L6" s="13">
        <f t="shared" si="0"/>
        <v>45746</v>
      </c>
      <c r="M6" s="13">
        <f t="shared" si="0"/>
        <v>45753</v>
      </c>
      <c r="N6" s="13">
        <f t="shared" si="0"/>
        <v>45760</v>
      </c>
      <c r="O6" s="13">
        <f t="shared" si="0"/>
        <v>45767</v>
      </c>
      <c r="P6" s="13">
        <f t="shared" si="0"/>
        <v>45774</v>
      </c>
      <c r="Q6" s="13">
        <f t="shared" si="0"/>
        <v>45781</v>
      </c>
      <c r="R6" s="13">
        <f t="shared" si="0"/>
        <v>45788</v>
      </c>
      <c r="S6" s="13">
        <f t="shared" si="0"/>
        <v>45795</v>
      </c>
      <c r="T6" s="13">
        <f t="shared" si="0"/>
        <v>45802</v>
      </c>
      <c r="U6" s="13">
        <f t="shared" si="0"/>
        <v>45809</v>
      </c>
      <c r="V6" s="13">
        <f t="shared" si="0"/>
        <v>45816</v>
      </c>
      <c r="W6" s="13">
        <f t="shared" si="0"/>
        <v>45823</v>
      </c>
      <c r="X6" s="13">
        <f t="shared" si="0"/>
        <v>45830</v>
      </c>
      <c r="Y6" s="13">
        <f t="shared" si="0"/>
        <v>45837</v>
      </c>
      <c r="Z6" s="13">
        <f t="shared" si="0"/>
        <v>45844</v>
      </c>
      <c r="AA6" s="13">
        <f t="shared" si="0"/>
        <v>45851</v>
      </c>
      <c r="AB6" s="13">
        <f t="shared" si="0"/>
        <v>45858</v>
      </c>
      <c r="AC6" s="13">
        <f t="shared" si="0"/>
        <v>45865</v>
      </c>
      <c r="AD6" s="13">
        <f t="shared" si="0"/>
        <v>45872</v>
      </c>
      <c r="AE6" s="13">
        <f t="shared" si="0"/>
        <v>45879</v>
      </c>
      <c r="AF6" s="13">
        <f t="shared" si="0"/>
        <v>45886</v>
      </c>
      <c r="AG6" s="13">
        <f t="shared" si="0"/>
        <v>45893</v>
      </c>
      <c r="AH6" s="13">
        <f t="shared" si="0"/>
        <v>45900</v>
      </c>
      <c r="AI6" s="13">
        <f t="shared" si="0"/>
        <v>45907</v>
      </c>
      <c r="AJ6" s="13">
        <f t="shared" si="0"/>
        <v>45914</v>
      </c>
      <c r="AK6" s="13">
        <f t="shared" si="0"/>
        <v>45921</v>
      </c>
      <c r="AL6" s="13">
        <f t="shared" si="0"/>
        <v>45928</v>
      </c>
      <c r="AM6" s="13">
        <f t="shared" si="0"/>
        <v>45935</v>
      </c>
      <c r="AN6" s="13">
        <f t="shared" si="0"/>
        <v>45942</v>
      </c>
      <c r="AO6" s="13">
        <f t="shared" si="0"/>
        <v>45949</v>
      </c>
      <c r="AP6" s="13">
        <f t="shared" si="0"/>
        <v>45956</v>
      </c>
      <c r="AQ6" s="13">
        <f t="shared" si="0"/>
        <v>45963</v>
      </c>
      <c r="AR6" s="13">
        <f t="shared" si="0"/>
        <v>45970</v>
      </c>
      <c r="AS6" s="13">
        <f t="shared" si="0"/>
        <v>45977</v>
      </c>
      <c r="AT6" s="13">
        <f t="shared" si="0"/>
        <v>45984</v>
      </c>
      <c r="AU6" s="13">
        <f t="shared" si="0"/>
        <v>45991</v>
      </c>
      <c r="AV6" s="13">
        <f t="shared" si="0"/>
        <v>45998</v>
      </c>
      <c r="AW6" s="13">
        <f t="shared" si="0"/>
        <v>46005</v>
      </c>
      <c r="AX6" s="13">
        <f t="shared" si="0"/>
        <v>46012</v>
      </c>
      <c r="AY6" s="13">
        <f t="shared" si="0"/>
        <v>46019</v>
      </c>
      <c r="AZ6" s="13">
        <f t="shared" si="0"/>
        <v>46026</v>
      </c>
      <c r="BA6" s="13">
        <f t="shared" si="0"/>
        <v>46033</v>
      </c>
      <c r="BB6" s="13">
        <f t="shared" si="0"/>
        <v>46040</v>
      </c>
      <c r="BC6" s="13">
        <f t="shared" si="0"/>
        <v>46047</v>
      </c>
    </row>
    <row r="7" spans="1:55" ht="13.5" customHeight="1">
      <c r="B7" s="10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7"/>
      <c r="AK7" s="17"/>
      <c r="AL7" s="17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</row>
    <row r="8" spans="1:55" ht="45.75" customHeight="1" outlineLevel="1">
      <c r="A8" s="178" t="s">
        <v>65</v>
      </c>
      <c r="B8" s="2" t="s">
        <v>66</v>
      </c>
      <c r="C8" s="178" t="s">
        <v>67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"/>
      <c r="AI8" s="1"/>
      <c r="AJ8" s="20" t="s">
        <v>68</v>
      </c>
      <c r="AK8" s="21" t="s">
        <v>69</v>
      </c>
      <c r="AL8" s="19"/>
      <c r="AM8" s="19"/>
      <c r="AN8" s="19"/>
      <c r="AO8" s="19"/>
      <c r="AQ8" s="19"/>
      <c r="AR8" s="19"/>
      <c r="AS8" s="19"/>
      <c r="AT8" s="19"/>
      <c r="AU8" s="19"/>
      <c r="AV8" s="19"/>
      <c r="AW8" s="19"/>
      <c r="AX8" s="19"/>
      <c r="AY8" s="22"/>
      <c r="AZ8" s="19"/>
      <c r="BA8" s="19"/>
      <c r="BB8" s="19"/>
      <c r="BC8" s="19"/>
    </row>
    <row r="9" spans="1:55" ht="57" customHeight="1" outlineLevel="1">
      <c r="A9" s="179"/>
      <c r="B9" s="2" t="s">
        <v>70</v>
      </c>
      <c r="C9" s="17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"/>
      <c r="AI9" s="176" t="s">
        <v>71</v>
      </c>
      <c r="AJ9" s="174"/>
      <c r="AK9" s="174"/>
      <c r="AL9" s="175"/>
      <c r="AM9" s="23"/>
      <c r="AN9" s="19"/>
      <c r="AO9" s="1"/>
      <c r="AP9" s="1"/>
      <c r="AQ9" s="1"/>
      <c r="AR9" s="1"/>
      <c r="AS9" s="1"/>
      <c r="AT9" s="1"/>
      <c r="AU9" s="1"/>
      <c r="AV9" s="1"/>
      <c r="AW9" s="1"/>
      <c r="AX9" s="1"/>
      <c r="AY9" s="22"/>
      <c r="AZ9" s="1"/>
      <c r="BA9" s="1"/>
      <c r="BB9" s="1"/>
      <c r="BC9" s="1"/>
    </row>
    <row r="10" spans="1:55" ht="36" customHeight="1" outlineLevel="1">
      <c r="A10" s="179"/>
      <c r="B10" s="2" t="s">
        <v>72</v>
      </c>
      <c r="C10" s="17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73" t="s">
        <v>73</v>
      </c>
      <c r="AJ10" s="174"/>
      <c r="AK10" s="175"/>
      <c r="AL10" s="3"/>
      <c r="AM10" s="19"/>
      <c r="AN10" s="24" t="s">
        <v>74</v>
      </c>
      <c r="AP10" s="25" t="s">
        <v>75</v>
      </c>
      <c r="AQ10" s="24" t="s">
        <v>74</v>
      </c>
      <c r="AR10" s="22"/>
      <c r="AS10" s="19"/>
      <c r="AT10" s="26"/>
      <c r="AU10" s="19"/>
      <c r="AV10" s="27" t="s">
        <v>76</v>
      </c>
      <c r="AW10" s="19"/>
      <c r="AX10" s="19"/>
      <c r="AY10" s="22"/>
      <c r="AZ10" s="28" t="s">
        <v>77</v>
      </c>
      <c r="BA10" s="25" t="s">
        <v>78</v>
      </c>
      <c r="BB10" s="3"/>
      <c r="BC10" s="19"/>
    </row>
    <row r="11" spans="1:55" ht="45.75" customHeight="1" outlineLevel="1">
      <c r="A11" s="179"/>
      <c r="B11" s="2" t="s">
        <v>79</v>
      </c>
      <c r="C11" s="179"/>
      <c r="D11" s="19"/>
      <c r="E11" s="19"/>
      <c r="F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6"/>
      <c r="AI11" s="1"/>
      <c r="AJ11" s="20" t="s">
        <v>68</v>
      </c>
      <c r="AK11" s="20" t="s">
        <v>68</v>
      </c>
      <c r="AL11" s="29" t="s">
        <v>80</v>
      </c>
      <c r="AM11" s="29" t="s">
        <v>81</v>
      </c>
      <c r="AN11" s="19"/>
      <c r="AO11" s="29" t="s">
        <v>82</v>
      </c>
      <c r="AP11" s="19"/>
      <c r="AQ11" s="19"/>
      <c r="AR11" s="25" t="s">
        <v>83</v>
      </c>
      <c r="AS11" s="177" t="s">
        <v>84</v>
      </c>
      <c r="AT11" s="175"/>
      <c r="AU11" s="19"/>
      <c r="AV11" s="19"/>
      <c r="AW11" s="19"/>
      <c r="AX11" s="19"/>
      <c r="AY11" s="30" t="s">
        <v>85</v>
      </c>
      <c r="AZ11" s="19"/>
      <c r="BA11" s="19"/>
      <c r="BB11" s="177" t="s">
        <v>84</v>
      </c>
      <c r="BC11" s="175"/>
    </row>
    <row r="12" spans="1:55" ht="45.75" customHeight="1" outlineLevel="1">
      <c r="A12" s="179"/>
      <c r="B12" s="2" t="s">
        <v>86</v>
      </c>
      <c r="C12" s="17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"/>
      <c r="AI12" s="1"/>
      <c r="AJ12" s="20" t="s">
        <v>68</v>
      </c>
      <c r="AK12" s="31" t="s">
        <v>69</v>
      </c>
      <c r="AL12" s="19"/>
      <c r="AM12" s="19"/>
      <c r="AN12" s="19"/>
      <c r="AO12" s="19"/>
      <c r="AQ12" s="19"/>
      <c r="AR12" s="19"/>
      <c r="AS12" s="19"/>
      <c r="AT12" s="19"/>
      <c r="AU12" s="19"/>
      <c r="AV12" s="19"/>
      <c r="AW12" s="19"/>
      <c r="AX12" s="19"/>
      <c r="AY12" s="22"/>
      <c r="AZ12" s="19"/>
      <c r="BA12" s="19"/>
      <c r="BB12" s="19"/>
      <c r="BC12" s="19"/>
    </row>
    <row r="13" spans="1:55" ht="36" customHeight="1" outlineLevel="1">
      <c r="A13" s="179"/>
      <c r="B13" s="2" t="s">
        <v>87</v>
      </c>
      <c r="C13" s="17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73" t="s">
        <v>88</v>
      </c>
      <c r="AJ13" s="174"/>
      <c r="AK13" s="175"/>
      <c r="AL13" s="3"/>
      <c r="AM13" s="23"/>
      <c r="AN13" s="32" t="s">
        <v>89</v>
      </c>
      <c r="AP13" s="25" t="s">
        <v>90</v>
      </c>
      <c r="AQ13" s="32" t="s">
        <v>89</v>
      </c>
      <c r="AR13" s="22"/>
      <c r="AS13" s="19"/>
      <c r="AT13" s="19"/>
      <c r="AU13" s="19"/>
      <c r="AV13" s="19"/>
      <c r="AW13" s="19"/>
      <c r="AX13" s="19"/>
      <c r="AY13" s="22"/>
      <c r="AZ13" s="28" t="s">
        <v>77</v>
      </c>
      <c r="BA13" s="25" t="s">
        <v>91</v>
      </c>
      <c r="BB13" s="3"/>
      <c r="BC13" s="19"/>
    </row>
    <row r="14" spans="1:55" ht="45.75" customHeight="1" outlineLevel="1">
      <c r="A14" s="179"/>
      <c r="B14" s="2" t="s">
        <v>92</v>
      </c>
      <c r="C14" s="18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26"/>
      <c r="AI14" s="1"/>
      <c r="AJ14" s="20" t="s">
        <v>68</v>
      </c>
      <c r="AK14" s="20" t="s">
        <v>68</v>
      </c>
      <c r="AL14" s="29" t="s">
        <v>80</v>
      </c>
      <c r="AM14" s="29" t="s">
        <v>81</v>
      </c>
      <c r="AN14" s="19"/>
      <c r="AO14" s="29" t="s">
        <v>82</v>
      </c>
      <c r="AP14" s="19"/>
      <c r="AQ14" s="19"/>
      <c r="AR14" s="25" t="s">
        <v>83</v>
      </c>
      <c r="AS14" s="177" t="s">
        <v>84</v>
      </c>
      <c r="AT14" s="175"/>
      <c r="AU14" s="19"/>
      <c r="AV14" s="19"/>
      <c r="AW14" s="19"/>
      <c r="AX14" s="19"/>
      <c r="AY14" s="30" t="s">
        <v>85</v>
      </c>
      <c r="AZ14" s="19"/>
      <c r="BA14" s="19"/>
      <c r="BB14" s="177" t="s">
        <v>84</v>
      </c>
      <c r="BC14" s="175"/>
    </row>
    <row r="15" spans="1:55" ht="45.75" customHeight="1" outlineLevel="1">
      <c r="A15" s="179"/>
      <c r="B15" s="33" t="s">
        <v>93</v>
      </c>
      <c r="C15" s="178" t="s">
        <v>94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1" t="s">
        <v>95</v>
      </c>
      <c r="AI15" s="20"/>
      <c r="AJ15" s="19"/>
      <c r="AK15" s="19"/>
      <c r="AL15" s="19"/>
      <c r="AM15" s="23"/>
      <c r="AN15" s="19"/>
      <c r="AO15" s="19"/>
      <c r="AP15" s="34"/>
      <c r="AQ15" s="19"/>
      <c r="AR15" s="19"/>
      <c r="AS15" s="19"/>
      <c r="AT15" s="19"/>
      <c r="AU15" s="19"/>
      <c r="AV15" s="25" t="s">
        <v>76</v>
      </c>
      <c r="AW15" s="19"/>
      <c r="AX15" s="19"/>
      <c r="AY15" s="22"/>
      <c r="AZ15" s="19"/>
      <c r="BA15" s="19"/>
      <c r="BB15" s="19"/>
      <c r="BC15" s="19"/>
    </row>
    <row r="16" spans="1:55" ht="51" customHeight="1" outlineLevel="1">
      <c r="A16" s="179"/>
      <c r="B16" s="2" t="s">
        <v>96</v>
      </c>
      <c r="C16" s="17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76" t="s">
        <v>97</v>
      </c>
      <c r="AJ16" s="174"/>
      <c r="AK16" s="174"/>
      <c r="AL16" s="175"/>
      <c r="AM16" s="19"/>
      <c r="AN16" s="19"/>
      <c r="AO16" s="34"/>
      <c r="AP16" s="34"/>
      <c r="AQ16" s="19"/>
      <c r="AR16" s="19"/>
      <c r="AS16" s="19"/>
      <c r="AT16" s="19"/>
      <c r="AU16" s="19"/>
      <c r="AV16" s="19"/>
      <c r="AW16" s="19"/>
      <c r="AX16" s="19"/>
      <c r="AY16" s="22"/>
      <c r="AZ16" s="1"/>
      <c r="BA16" s="1"/>
      <c r="BB16" s="19"/>
      <c r="BC16" s="19"/>
    </row>
    <row r="17" spans="1:55" ht="36" customHeight="1" outlineLevel="1">
      <c r="A17" s="179"/>
      <c r="B17" s="2" t="s">
        <v>98</v>
      </c>
      <c r="C17" s="17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35"/>
      <c r="AI17" s="173" t="s">
        <v>99</v>
      </c>
      <c r="AJ17" s="174"/>
      <c r="AK17" s="175"/>
      <c r="AL17" s="29" t="s">
        <v>80</v>
      </c>
      <c r="AM17" s="23"/>
      <c r="AN17" s="32" t="s">
        <v>74</v>
      </c>
      <c r="AP17" s="27" t="s">
        <v>74</v>
      </c>
      <c r="AQ17" s="32" t="s">
        <v>74</v>
      </c>
      <c r="AR17" s="19"/>
      <c r="AS17" s="19"/>
      <c r="AT17" s="19"/>
      <c r="AU17" s="19"/>
      <c r="AV17" s="19"/>
      <c r="AW17" s="19"/>
      <c r="AX17" s="19"/>
      <c r="AY17" s="22"/>
      <c r="AZ17" s="181" t="s">
        <v>78</v>
      </c>
      <c r="BA17" s="182"/>
      <c r="BB17" s="19"/>
      <c r="BC17" s="19"/>
    </row>
    <row r="18" spans="1:55" ht="45.75" customHeight="1" outlineLevel="1">
      <c r="A18" s="179"/>
      <c r="B18" s="2" t="s">
        <v>100</v>
      </c>
      <c r="C18" s="17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26"/>
      <c r="AI18" s="1"/>
      <c r="AJ18" s="20"/>
      <c r="AK18" s="19"/>
      <c r="AM18" s="29" t="s">
        <v>81</v>
      </c>
      <c r="AN18" s="19"/>
      <c r="AO18" s="29" t="s">
        <v>82</v>
      </c>
      <c r="AP18" s="19"/>
      <c r="AQ18" s="19"/>
      <c r="AR18" s="19"/>
      <c r="AS18" s="177" t="s">
        <v>84</v>
      </c>
      <c r="AT18" s="175"/>
      <c r="AU18" s="19"/>
      <c r="AV18" s="19"/>
      <c r="AW18" s="19"/>
      <c r="AX18" s="19"/>
      <c r="AY18" s="30" t="s">
        <v>85</v>
      </c>
      <c r="AZ18" s="19"/>
      <c r="BA18" s="19"/>
      <c r="BB18" s="177" t="s">
        <v>84</v>
      </c>
      <c r="BC18" s="175"/>
    </row>
    <row r="19" spans="1:55" ht="45.75" customHeight="1" outlineLevel="1">
      <c r="A19" s="179"/>
      <c r="B19" s="33" t="s">
        <v>101</v>
      </c>
      <c r="C19" s="17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21" t="s">
        <v>95</v>
      </c>
      <c r="AI19" s="176" t="s">
        <v>71</v>
      </c>
      <c r="AJ19" s="174"/>
      <c r="AK19" s="174"/>
      <c r="AL19" s="175"/>
      <c r="AM19" s="23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22"/>
      <c r="AZ19" s="19"/>
      <c r="BA19" s="19"/>
      <c r="BB19" s="19"/>
      <c r="BC19" s="19"/>
    </row>
    <row r="20" spans="1:55" ht="45.75" customHeight="1" outlineLevel="1">
      <c r="A20" s="179"/>
      <c r="B20" s="33" t="s">
        <v>102</v>
      </c>
      <c r="C20" s="17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35"/>
      <c r="AI20" s="173" t="s">
        <v>103</v>
      </c>
      <c r="AJ20" s="174"/>
      <c r="AK20" s="175"/>
      <c r="AL20" s="29" t="s">
        <v>80</v>
      </c>
      <c r="AM20" s="19"/>
      <c r="AN20" s="32" t="s">
        <v>89</v>
      </c>
      <c r="AP20" s="27" t="s">
        <v>89</v>
      </c>
      <c r="AQ20" s="32" t="s">
        <v>89</v>
      </c>
      <c r="AR20" s="19"/>
      <c r="AS20" s="19"/>
      <c r="AT20" s="19"/>
      <c r="AU20" s="19"/>
      <c r="AV20" s="19"/>
      <c r="AW20" s="19"/>
      <c r="AX20" s="19"/>
      <c r="AY20" s="22"/>
      <c r="AZ20" s="181" t="s">
        <v>104</v>
      </c>
      <c r="BA20" s="182"/>
      <c r="BB20" s="19"/>
      <c r="BC20" s="19"/>
    </row>
    <row r="21" spans="1:55" ht="45.75" customHeight="1" outlineLevel="1">
      <c r="A21" s="179"/>
      <c r="B21" s="33" t="s">
        <v>105</v>
      </c>
      <c r="C21" s="180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26"/>
      <c r="AI21" s="1"/>
      <c r="AJ21" s="36"/>
      <c r="AK21" s="18"/>
      <c r="AM21" s="29" t="s">
        <v>81</v>
      </c>
      <c r="AN21" s="19"/>
      <c r="AO21" s="29" t="s">
        <v>82</v>
      </c>
      <c r="AP21" s="19"/>
      <c r="AQ21" s="19"/>
      <c r="AR21" s="19"/>
      <c r="AS21" s="177" t="s">
        <v>84</v>
      </c>
      <c r="AT21" s="175"/>
      <c r="AU21" s="19"/>
      <c r="AV21" s="19"/>
      <c r="AW21" s="19"/>
      <c r="AX21" s="19"/>
      <c r="AY21" s="30" t="s">
        <v>85</v>
      </c>
      <c r="AZ21" s="19"/>
      <c r="BA21" s="19"/>
      <c r="BB21" s="177" t="s">
        <v>84</v>
      </c>
      <c r="BC21" s="175"/>
    </row>
    <row r="22" spans="1:55" ht="45.75" customHeight="1" outlineLevel="1">
      <c r="A22" s="179"/>
      <c r="B22" s="2" t="s">
        <v>106</v>
      </c>
      <c r="C22" s="178" t="s">
        <v>107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"/>
      <c r="AI22" s="31" t="s">
        <v>108</v>
      </c>
      <c r="AJ22" s="36"/>
      <c r="AK22" s="18"/>
      <c r="AL22" s="18"/>
      <c r="AM22" s="23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22"/>
      <c r="AZ22" s="19"/>
      <c r="BA22" s="19"/>
      <c r="BB22" s="19"/>
      <c r="BC22" s="19"/>
    </row>
    <row r="23" spans="1:55" ht="45.75" customHeight="1" outlineLevel="1">
      <c r="A23" s="179"/>
      <c r="B23" s="2" t="s">
        <v>109</v>
      </c>
      <c r="C23" s="17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"/>
      <c r="AI23" s="176" t="s">
        <v>110</v>
      </c>
      <c r="AJ23" s="174"/>
      <c r="AK23" s="174"/>
      <c r="AL23" s="174"/>
      <c r="AM23" s="174"/>
      <c r="AN23" s="174"/>
      <c r="AO23" s="174"/>
      <c r="AP23" s="19"/>
      <c r="AQ23" s="19"/>
      <c r="AR23" s="19"/>
      <c r="AS23" s="19"/>
      <c r="AT23" s="3"/>
      <c r="AU23" s="19"/>
      <c r="AV23" s="19"/>
      <c r="AW23" s="19"/>
      <c r="AX23" s="176" t="s">
        <v>111</v>
      </c>
      <c r="AY23" s="174"/>
      <c r="AZ23" s="174"/>
      <c r="BA23" s="174"/>
      <c r="BB23" s="174"/>
      <c r="BC23" s="175"/>
    </row>
    <row r="24" spans="1:55" ht="36" customHeight="1" outlineLevel="1">
      <c r="A24" s="179"/>
      <c r="B24" s="2" t="s">
        <v>112</v>
      </c>
      <c r="C24" s="17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J24" s="20" t="s">
        <v>68</v>
      </c>
      <c r="AK24" s="37" t="s">
        <v>113</v>
      </c>
      <c r="AL24" s="33"/>
      <c r="AM24" s="33"/>
      <c r="AN24" s="27" t="s">
        <v>114</v>
      </c>
      <c r="AO24" s="38"/>
      <c r="AP24" s="39"/>
      <c r="AQ24" s="19"/>
      <c r="AR24" s="19"/>
      <c r="AS24" s="19"/>
      <c r="AT24" s="26"/>
      <c r="AU24" s="19"/>
      <c r="AV24" s="19"/>
      <c r="AW24" s="19"/>
      <c r="AX24" s="173" t="s">
        <v>115</v>
      </c>
      <c r="AY24" s="174"/>
      <c r="AZ24" s="174"/>
      <c r="BA24" s="174"/>
      <c r="BB24" s="174"/>
      <c r="BC24" s="182"/>
    </row>
    <row r="25" spans="1:55" ht="45.75" customHeight="1" outlineLevel="1">
      <c r="A25" s="179"/>
      <c r="B25" s="2" t="s">
        <v>116</v>
      </c>
      <c r="C25" s="17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6"/>
      <c r="AI25" s="1"/>
      <c r="AJ25" s="20" t="s">
        <v>68</v>
      </c>
      <c r="AK25" s="20" t="s">
        <v>68</v>
      </c>
      <c r="AL25" s="29" t="s">
        <v>80</v>
      </c>
      <c r="AM25" s="29" t="s">
        <v>117</v>
      </c>
      <c r="AN25" s="19"/>
      <c r="AO25" s="29" t="s">
        <v>82</v>
      </c>
      <c r="AP25" s="19"/>
      <c r="AQ25" s="19"/>
      <c r="AR25" s="19"/>
      <c r="AS25" s="40" t="s">
        <v>84</v>
      </c>
      <c r="AT25" s="29" t="s">
        <v>118</v>
      </c>
      <c r="AU25" s="19"/>
      <c r="AV25" s="19"/>
      <c r="AW25" s="19"/>
      <c r="AX25" s="19"/>
      <c r="AY25" s="30" t="s">
        <v>85</v>
      </c>
      <c r="AZ25" s="25" t="s">
        <v>119</v>
      </c>
      <c r="BA25" s="19"/>
      <c r="BB25" s="19"/>
      <c r="BC25" s="19"/>
    </row>
    <row r="26" spans="1:55" ht="45.75" customHeight="1" outlineLevel="1">
      <c r="A26" s="179"/>
      <c r="B26" s="2" t="s">
        <v>120</v>
      </c>
      <c r="C26" s="17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"/>
      <c r="AI26" s="31" t="s">
        <v>108</v>
      </c>
      <c r="AJ26" s="20"/>
      <c r="AK26" s="19"/>
      <c r="AL26" s="19"/>
      <c r="AM26" s="23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22"/>
      <c r="AZ26" s="19"/>
      <c r="BA26" s="19"/>
      <c r="BB26" s="19"/>
      <c r="BC26" s="19"/>
    </row>
    <row r="27" spans="1:55" ht="45.75" customHeight="1" outlineLevel="1">
      <c r="A27" s="179"/>
      <c r="B27" s="2" t="s">
        <v>121</v>
      </c>
      <c r="C27" s="17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"/>
      <c r="AI27" s="176" t="s">
        <v>122</v>
      </c>
      <c r="AJ27" s="174"/>
      <c r="AK27" s="174"/>
      <c r="AL27" s="174"/>
      <c r="AM27" s="174"/>
      <c r="AN27" s="174"/>
      <c r="AO27" s="174"/>
      <c r="AP27" s="19"/>
      <c r="AQ27" s="19"/>
      <c r="AR27" s="19"/>
      <c r="AS27" s="19"/>
      <c r="AT27" s="3"/>
      <c r="AU27" s="19"/>
      <c r="AV27" s="19"/>
      <c r="AW27" s="19"/>
      <c r="AX27" s="176" t="s">
        <v>111</v>
      </c>
      <c r="AY27" s="174"/>
      <c r="AZ27" s="174"/>
      <c r="BA27" s="174"/>
      <c r="BB27" s="174"/>
      <c r="BC27" s="175"/>
    </row>
    <row r="28" spans="1:55" ht="36" customHeight="1" outlineLevel="1">
      <c r="A28" s="179"/>
      <c r="B28" s="2" t="s">
        <v>123</v>
      </c>
      <c r="C28" s="17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212" t="s">
        <v>124</v>
      </c>
      <c r="AJ28" s="174"/>
      <c r="AK28" s="174"/>
      <c r="AL28" s="33"/>
      <c r="AM28" s="33"/>
      <c r="AN28" s="27" t="s">
        <v>124</v>
      </c>
      <c r="AO28" s="33"/>
      <c r="AP28" s="39"/>
      <c r="AQ28" s="19"/>
      <c r="AR28" s="19"/>
      <c r="AS28" s="19"/>
      <c r="AT28" s="26"/>
      <c r="AU28" s="19"/>
      <c r="AV28" s="19"/>
      <c r="AW28" s="19"/>
      <c r="AX28" s="181" t="s">
        <v>125</v>
      </c>
      <c r="AY28" s="174"/>
      <c r="AZ28" s="174"/>
      <c r="BA28" s="174"/>
      <c r="BB28" s="174"/>
      <c r="BC28" s="182"/>
    </row>
    <row r="29" spans="1:55" ht="45.75" customHeight="1" outlineLevel="1">
      <c r="A29" s="179"/>
      <c r="B29" s="2" t="s">
        <v>126</v>
      </c>
      <c r="C29" s="180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26"/>
      <c r="AI29" s="1"/>
      <c r="AJ29" s="20" t="s">
        <v>68</v>
      </c>
      <c r="AK29" s="20" t="s">
        <v>68</v>
      </c>
      <c r="AL29" s="29" t="s">
        <v>80</v>
      </c>
      <c r="AM29" s="29" t="s">
        <v>117</v>
      </c>
      <c r="AN29" s="19"/>
      <c r="AO29" s="29" t="s">
        <v>82</v>
      </c>
      <c r="AP29" s="19"/>
      <c r="AQ29" s="19"/>
      <c r="AR29" s="19"/>
      <c r="AS29" s="19"/>
      <c r="AT29" s="29" t="s">
        <v>118</v>
      </c>
      <c r="AU29" s="177" t="s">
        <v>84</v>
      </c>
      <c r="AV29" s="175"/>
      <c r="AW29" s="19"/>
      <c r="AX29" s="19"/>
      <c r="AY29" s="30" t="s">
        <v>85</v>
      </c>
      <c r="AZ29" s="25" t="s">
        <v>119</v>
      </c>
      <c r="BA29" s="19"/>
      <c r="BB29" s="19"/>
      <c r="BC29" s="19"/>
    </row>
    <row r="30" spans="1:55" ht="45.75" customHeight="1" outlineLevel="1">
      <c r="A30" s="179"/>
      <c r="B30" s="2" t="s">
        <v>127</v>
      </c>
      <c r="C30" s="178" t="s">
        <v>128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"/>
      <c r="AI30" s="41" t="s">
        <v>129</v>
      </c>
      <c r="AJ30" s="21" t="s">
        <v>130</v>
      </c>
      <c r="AK30" s="19"/>
      <c r="AL30" s="19"/>
      <c r="AM30" s="18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22"/>
      <c r="AZ30" s="19"/>
      <c r="BA30" s="19"/>
      <c r="BB30" s="19"/>
      <c r="BC30" s="19"/>
    </row>
    <row r="31" spans="1:55" ht="52.5" customHeight="1" outlineLevel="1">
      <c r="A31" s="179"/>
      <c r="B31" s="2" t="s">
        <v>131</v>
      </c>
      <c r="C31" s="17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3"/>
      <c r="AI31" s="176" t="s">
        <v>132</v>
      </c>
      <c r="AJ31" s="174"/>
      <c r="AK31" s="174"/>
      <c r="AL31" s="175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22"/>
      <c r="AZ31" s="19"/>
      <c r="BA31" s="19"/>
      <c r="BB31" s="19"/>
      <c r="BC31" s="19"/>
    </row>
    <row r="32" spans="1:55" ht="36" customHeight="1" outlineLevel="1">
      <c r="A32" s="179"/>
      <c r="B32" s="2" t="s">
        <v>133</v>
      </c>
      <c r="C32" s="17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203" t="s">
        <v>134</v>
      </c>
      <c r="AJ32" s="204"/>
      <c r="AK32" s="204"/>
      <c r="AL32" s="205"/>
      <c r="AM32" s="35"/>
      <c r="AN32" s="19"/>
      <c r="AO32" s="19"/>
      <c r="AP32" s="42" t="s">
        <v>135</v>
      </c>
      <c r="AQ32" s="19"/>
      <c r="AR32" s="19"/>
      <c r="AS32" s="19"/>
      <c r="AT32" s="19"/>
      <c r="AU32" s="19"/>
      <c r="AV32" s="19"/>
      <c r="AW32" s="19"/>
      <c r="AX32" s="19"/>
      <c r="AY32" s="22"/>
      <c r="AZ32" s="187" t="s">
        <v>136</v>
      </c>
      <c r="BA32" s="182"/>
      <c r="BB32" s="19"/>
      <c r="BC32" s="19"/>
    </row>
    <row r="33" spans="1:55" ht="45.75" customHeight="1" outlineLevel="1">
      <c r="A33" s="179"/>
      <c r="B33" s="2" t="s">
        <v>137</v>
      </c>
      <c r="C33" s="180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26"/>
      <c r="AI33" s="1"/>
      <c r="AJ33" s="20" t="s">
        <v>68</v>
      </c>
      <c r="AK33" s="20" t="s">
        <v>68</v>
      </c>
      <c r="AL33" s="29" t="s">
        <v>80</v>
      </c>
      <c r="AM33" s="29" t="s">
        <v>117</v>
      </c>
      <c r="AN33" s="19"/>
      <c r="AO33" s="29" t="s">
        <v>82</v>
      </c>
      <c r="AP33" s="19"/>
      <c r="AQ33" s="19"/>
      <c r="AR33" s="19"/>
      <c r="AS33" s="177" t="s">
        <v>84</v>
      </c>
      <c r="AT33" s="175"/>
      <c r="AU33" s="19"/>
      <c r="AV33" s="19"/>
      <c r="AW33" s="19"/>
      <c r="AX33" s="19"/>
      <c r="AY33" s="30" t="s">
        <v>85</v>
      </c>
      <c r="AZ33" s="173" t="s">
        <v>138</v>
      </c>
      <c r="BA33" s="174"/>
      <c r="BB33" s="174"/>
      <c r="BC33" s="175"/>
    </row>
    <row r="34" spans="1:55" ht="45.75" customHeight="1" outlineLevel="1">
      <c r="A34" s="179"/>
      <c r="B34" s="2" t="s">
        <v>139</v>
      </c>
      <c r="C34" s="178" t="s">
        <v>140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"/>
      <c r="AI34" s="1"/>
      <c r="AJ34" s="20" t="s">
        <v>68</v>
      </c>
      <c r="AK34" s="31" t="s">
        <v>141</v>
      </c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43" t="s">
        <v>142</v>
      </c>
      <c r="AW34" s="19"/>
      <c r="AX34" s="19"/>
      <c r="AY34" s="22"/>
      <c r="AZ34" s="19"/>
      <c r="BA34" s="19"/>
      <c r="BB34" s="19"/>
      <c r="BC34" s="19"/>
    </row>
    <row r="35" spans="1:55" ht="45.75" customHeight="1" outlineLevel="1">
      <c r="A35" s="179"/>
      <c r="B35" s="2" t="s">
        <v>143</v>
      </c>
      <c r="C35" s="17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"/>
      <c r="AI35" s="176" t="s">
        <v>144</v>
      </c>
      <c r="AJ35" s="174"/>
      <c r="AK35" s="174"/>
      <c r="AL35" s="174"/>
      <c r="AM35" s="174"/>
      <c r="AN35" s="174"/>
      <c r="AO35" s="174"/>
      <c r="AP35" s="19"/>
      <c r="AQ35" s="19"/>
      <c r="AR35" s="19"/>
      <c r="AS35" s="19"/>
      <c r="AT35" s="3"/>
      <c r="AU35" s="19"/>
      <c r="AV35" s="19"/>
      <c r="AW35" s="19"/>
      <c r="AX35" s="176" t="s">
        <v>145</v>
      </c>
      <c r="AY35" s="174"/>
      <c r="AZ35" s="174"/>
      <c r="BA35" s="174"/>
      <c r="BB35" s="174"/>
      <c r="BC35" s="175"/>
    </row>
    <row r="36" spans="1:55" ht="36" customHeight="1" outlineLevel="1">
      <c r="A36" s="179"/>
      <c r="B36" s="2" t="s">
        <v>146</v>
      </c>
      <c r="C36" s="17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212" t="s">
        <v>124</v>
      </c>
      <c r="AJ36" s="174"/>
      <c r="AK36" s="175"/>
      <c r="AL36" s="33"/>
      <c r="AM36" s="33"/>
      <c r="AN36" s="27" t="s">
        <v>124</v>
      </c>
      <c r="AO36" s="38"/>
      <c r="AP36" s="39"/>
      <c r="AQ36" s="3"/>
      <c r="AR36" s="19"/>
      <c r="AS36" s="19"/>
      <c r="AT36" s="26"/>
      <c r="AU36" s="19"/>
      <c r="AV36" s="19"/>
      <c r="AW36" s="19"/>
      <c r="AX36" s="173" t="s">
        <v>125</v>
      </c>
      <c r="AY36" s="174"/>
      <c r="AZ36" s="174"/>
      <c r="BA36" s="174"/>
      <c r="BB36" s="174"/>
      <c r="BC36" s="182"/>
    </row>
    <row r="37" spans="1:55" ht="45.75" customHeight="1" outlineLevel="1">
      <c r="A37" s="179"/>
      <c r="B37" s="2" t="s">
        <v>147</v>
      </c>
      <c r="C37" s="18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26"/>
      <c r="AI37" s="1"/>
      <c r="AJ37" s="20" t="s">
        <v>68</v>
      </c>
      <c r="AK37" s="20" t="s">
        <v>68</v>
      </c>
      <c r="AL37" s="29" t="s">
        <v>80</v>
      </c>
      <c r="AM37" s="29" t="s">
        <v>117</v>
      </c>
      <c r="AN37" s="35"/>
      <c r="AO37" s="29" t="s">
        <v>82</v>
      </c>
      <c r="AP37" s="19"/>
      <c r="AQ37" s="19"/>
      <c r="AR37" s="19"/>
      <c r="AS37" s="19"/>
      <c r="AT37" s="19"/>
      <c r="AU37" s="43" t="s">
        <v>84</v>
      </c>
      <c r="AV37" s="39"/>
      <c r="AW37" s="19"/>
      <c r="AX37" s="19"/>
      <c r="AY37" s="30" t="s">
        <v>85</v>
      </c>
      <c r="AZ37" s="19"/>
      <c r="BA37" s="19"/>
      <c r="BB37" s="19"/>
      <c r="BC37" s="19"/>
    </row>
    <row r="38" spans="1:55" ht="45.75" customHeight="1" outlineLevel="1">
      <c r="A38" s="179"/>
      <c r="B38" s="2" t="s">
        <v>148</v>
      </c>
      <c r="C38" s="178" t="s">
        <v>149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"/>
      <c r="AI38" s="1"/>
      <c r="AJ38" s="20" t="s">
        <v>68</v>
      </c>
      <c r="AK38" s="31" t="s">
        <v>150</v>
      </c>
      <c r="AL38" s="19"/>
      <c r="AM38" s="23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22"/>
      <c r="AZ38" s="19"/>
      <c r="BA38" s="19"/>
      <c r="BB38" s="19"/>
      <c r="BC38" s="19"/>
    </row>
    <row r="39" spans="1:55" ht="45.75" customHeight="1" outlineLevel="1">
      <c r="A39" s="179"/>
      <c r="B39" s="2" t="s">
        <v>151</v>
      </c>
      <c r="C39" s="17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"/>
      <c r="AI39" s="176" t="s">
        <v>152</v>
      </c>
      <c r="AJ39" s="174"/>
      <c r="AK39" s="174"/>
      <c r="AL39" s="174"/>
      <c r="AM39" s="174"/>
      <c r="AN39" s="174"/>
      <c r="AO39" s="174"/>
      <c r="AP39" s="19"/>
      <c r="AQ39" s="19"/>
      <c r="AR39" s="19"/>
      <c r="AS39" s="19"/>
      <c r="AT39" s="3"/>
      <c r="AU39" s="19"/>
      <c r="AV39" s="19"/>
      <c r="AW39" s="19"/>
      <c r="AX39" s="19"/>
      <c r="AY39" s="22"/>
      <c r="AZ39" s="44"/>
      <c r="BA39" s="22"/>
      <c r="BB39" s="22"/>
      <c r="BC39" s="45"/>
    </row>
    <row r="40" spans="1:55" ht="36" customHeight="1" outlineLevel="1">
      <c r="A40" s="179"/>
      <c r="B40" s="2" t="s">
        <v>153</v>
      </c>
      <c r="C40" s="17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212" t="s">
        <v>124</v>
      </c>
      <c r="AJ40" s="174"/>
      <c r="AK40" s="175"/>
      <c r="AL40" s="33"/>
      <c r="AM40" s="33"/>
      <c r="AN40" s="27" t="s">
        <v>124</v>
      </c>
      <c r="AO40" s="33"/>
      <c r="AP40" s="39"/>
      <c r="AQ40" s="3"/>
      <c r="AR40" s="19"/>
      <c r="AS40" s="19"/>
      <c r="AT40" s="26"/>
      <c r="AU40" s="19"/>
      <c r="AV40" s="19"/>
      <c r="AW40" s="19"/>
      <c r="AX40" s="19"/>
      <c r="AY40" s="22"/>
      <c r="AZ40" s="173" t="s">
        <v>154</v>
      </c>
      <c r="BA40" s="174"/>
      <c r="BB40" s="174"/>
      <c r="BC40" s="182"/>
    </row>
    <row r="41" spans="1:55" ht="45.75" customHeight="1" outlineLevel="1">
      <c r="A41" s="179"/>
      <c r="B41" s="2" t="s">
        <v>155</v>
      </c>
      <c r="C41" s="180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26"/>
      <c r="AI41" s="1"/>
      <c r="AJ41" s="20" t="s">
        <v>68</v>
      </c>
      <c r="AK41" s="20" t="s">
        <v>68</v>
      </c>
      <c r="AL41" s="29" t="s">
        <v>80</v>
      </c>
      <c r="AM41" s="46" t="s">
        <v>117</v>
      </c>
      <c r="AN41" s="19"/>
      <c r="AO41" s="29" t="s">
        <v>82</v>
      </c>
      <c r="AP41" s="19"/>
      <c r="AQ41" s="19"/>
      <c r="AR41" s="19"/>
      <c r="AS41" s="19"/>
      <c r="AT41" s="19"/>
      <c r="AU41" s="177" t="s">
        <v>84</v>
      </c>
      <c r="AV41" s="175"/>
      <c r="AW41" s="19"/>
      <c r="AX41" s="19"/>
      <c r="AY41" s="30" t="s">
        <v>85</v>
      </c>
      <c r="AZ41" s="19"/>
      <c r="BA41" s="19"/>
      <c r="BB41" s="19"/>
      <c r="BC41" s="19"/>
    </row>
    <row r="42" spans="1:55" ht="10.5" customHeight="1" outlineLevel="1">
      <c r="A42" s="179"/>
      <c r="B42" s="47"/>
      <c r="C42" s="48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50"/>
      <c r="AK42" s="50"/>
      <c r="AL42" s="51"/>
      <c r="AM42" s="52"/>
      <c r="AN42" s="52"/>
      <c r="AO42" s="53"/>
      <c r="AP42" s="54"/>
      <c r="AQ42" s="55"/>
      <c r="AR42" s="55"/>
      <c r="AS42" s="55"/>
      <c r="AT42" s="55"/>
      <c r="AU42" s="55"/>
      <c r="AV42" s="55"/>
      <c r="AW42" s="55"/>
      <c r="AX42" s="55"/>
      <c r="AY42" s="56"/>
      <c r="AZ42" s="57"/>
      <c r="BA42" s="57"/>
      <c r="BB42" s="57"/>
      <c r="BC42" s="57"/>
    </row>
    <row r="43" spans="1:55" ht="57" customHeight="1" outlineLevel="1">
      <c r="A43" s="179"/>
      <c r="B43" s="2" t="s">
        <v>156</v>
      </c>
      <c r="C43" s="19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9"/>
      <c r="AJ43" s="58"/>
      <c r="AK43" s="60" t="s">
        <v>157</v>
      </c>
      <c r="AL43" s="58"/>
      <c r="AM43" s="58"/>
      <c r="AN43" s="58"/>
      <c r="AO43" s="58"/>
      <c r="AP43" s="60" t="s">
        <v>157</v>
      </c>
      <c r="AQ43" s="58"/>
      <c r="AR43" s="58"/>
      <c r="AS43" s="58"/>
      <c r="AT43" s="58"/>
      <c r="AU43" s="60" t="s">
        <v>157</v>
      </c>
      <c r="AV43" s="58"/>
      <c r="AW43" s="58"/>
      <c r="AX43" s="58"/>
      <c r="AY43" s="58"/>
      <c r="AZ43" s="60" t="s">
        <v>157</v>
      </c>
      <c r="BA43" s="58"/>
      <c r="BB43" s="58"/>
      <c r="BC43" s="58"/>
    </row>
    <row r="44" spans="1:55" ht="36" customHeight="1" outlineLevel="1">
      <c r="A44" s="179"/>
      <c r="B44" s="2" t="s">
        <v>158</v>
      </c>
      <c r="C44" s="19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9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</row>
    <row r="45" spans="1:55" ht="36" customHeight="1" outlineLevel="1">
      <c r="A45" s="180"/>
      <c r="B45" s="3" t="s">
        <v>159</v>
      </c>
      <c r="C45" s="3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183" t="s">
        <v>160</v>
      </c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  <c r="BB45" s="184"/>
      <c r="BC45" s="185"/>
    </row>
    <row r="46" spans="1:55" ht="36.75" customHeight="1" outlineLevel="1">
      <c r="A46" s="206" t="s">
        <v>161</v>
      </c>
      <c r="B46" s="19" t="s">
        <v>162</v>
      </c>
      <c r="C46" s="1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9"/>
      <c r="AK46" s="186" t="s">
        <v>163</v>
      </c>
      <c r="AL46" s="174"/>
      <c r="AM46" s="174"/>
      <c r="AN46" s="175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</row>
    <row r="47" spans="1:55" ht="36.75" customHeight="1" outlineLevel="1">
      <c r="A47" s="207"/>
      <c r="B47" s="19" t="s">
        <v>164</v>
      </c>
      <c r="C47" s="23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9"/>
      <c r="AK47" s="213" t="s">
        <v>165</v>
      </c>
      <c r="AL47" s="190"/>
      <c r="AM47" s="61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62"/>
      <c r="AY47" s="62"/>
      <c r="AZ47" s="58"/>
      <c r="BA47" s="58"/>
      <c r="BB47" s="58"/>
      <c r="BC47" s="58"/>
    </row>
    <row r="48" spans="1:55" ht="36.75" customHeight="1" outlineLevel="1">
      <c r="A48" s="207"/>
      <c r="B48" s="19" t="s">
        <v>166</v>
      </c>
      <c r="C48" s="23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9"/>
      <c r="AK48" s="186" t="s">
        <v>167</v>
      </c>
      <c r="AL48" s="175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186" t="s">
        <v>168</v>
      </c>
      <c r="BA48" s="175"/>
      <c r="BB48" s="58"/>
      <c r="BC48" s="58"/>
    </row>
    <row r="49" spans="1:55" ht="36.75" customHeight="1" outlineLevel="1">
      <c r="A49" s="207"/>
      <c r="B49" s="19" t="s">
        <v>169</v>
      </c>
      <c r="C49" s="23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9"/>
      <c r="AK49" s="186" t="s">
        <v>170</v>
      </c>
      <c r="AL49" s="175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186" t="s">
        <v>170</v>
      </c>
      <c r="BA49" s="175"/>
      <c r="BB49" s="58"/>
      <c r="BC49" s="58"/>
    </row>
    <row r="50" spans="1:55" ht="33" customHeight="1" outlineLevel="1">
      <c r="A50" s="207"/>
      <c r="B50" s="38" t="s">
        <v>171</v>
      </c>
      <c r="C50" s="23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19"/>
      <c r="AJ50" s="1"/>
      <c r="AK50" s="220" t="s">
        <v>171</v>
      </c>
      <c r="AL50" s="175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58"/>
      <c r="BA50" s="58"/>
      <c r="BB50" s="58"/>
      <c r="BC50" s="58"/>
    </row>
    <row r="51" spans="1:55" ht="33" customHeight="1" outlineLevel="1">
      <c r="A51" s="207"/>
      <c r="B51" s="38" t="s">
        <v>172</v>
      </c>
      <c r="C51" s="23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19"/>
      <c r="AJ51" s="1"/>
      <c r="AK51" s="220"/>
      <c r="AL51" s="175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58"/>
      <c r="BA51" s="58"/>
      <c r="BB51" s="58"/>
      <c r="BC51" s="58"/>
    </row>
    <row r="52" spans="1:55" ht="33" customHeight="1" outlineLevel="1">
      <c r="A52" s="207"/>
      <c r="B52" s="38" t="s">
        <v>173</v>
      </c>
      <c r="C52" s="23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19"/>
      <c r="AJ52" s="1"/>
      <c r="AK52" s="220"/>
      <c r="AL52" s="175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58"/>
      <c r="BA52" s="58"/>
      <c r="BB52" s="58"/>
      <c r="BC52" s="58"/>
    </row>
    <row r="53" spans="1:55" ht="33" customHeight="1" outlineLevel="1">
      <c r="A53" s="207"/>
      <c r="B53" s="38" t="s">
        <v>174</v>
      </c>
      <c r="C53" s="23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19"/>
      <c r="AJ53" s="1"/>
      <c r="AK53" s="220"/>
      <c r="AL53" s="175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58"/>
      <c r="BA53" s="58"/>
      <c r="BB53" s="58"/>
      <c r="BC53" s="58"/>
    </row>
    <row r="54" spans="1:55" ht="33" customHeight="1" outlineLevel="1">
      <c r="A54" s="207"/>
      <c r="B54" s="19" t="s">
        <v>175</v>
      </c>
      <c r="C54" s="23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186" t="s">
        <v>176</v>
      </c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/>
      <c r="AY54" s="174"/>
      <c r="AZ54" s="174"/>
      <c r="BA54" s="175"/>
      <c r="BB54" s="63"/>
      <c r="BC54" s="64"/>
    </row>
    <row r="55" spans="1:55" ht="33" customHeight="1" outlineLevel="1">
      <c r="A55" s="207"/>
      <c r="B55" s="19" t="s">
        <v>177</v>
      </c>
      <c r="C55" s="23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221" t="s">
        <v>178</v>
      </c>
      <c r="AL55" s="205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</row>
    <row r="56" spans="1:55" ht="33" customHeight="1" outlineLevel="1">
      <c r="A56" s="207"/>
      <c r="B56" s="1" t="s">
        <v>179</v>
      </c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213" t="s">
        <v>180</v>
      </c>
      <c r="AL56" s="190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</row>
    <row r="57" spans="1:55" ht="33" customHeight="1" outlineLevel="1">
      <c r="A57" s="207"/>
      <c r="B57" s="1" t="s">
        <v>181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186" t="s">
        <v>182</v>
      </c>
      <c r="AL57" s="175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</row>
    <row r="58" spans="1:55" ht="12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spans="1:55" ht="12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spans="1:55" ht="28.5" customHeight="1">
      <c r="A60" s="65"/>
      <c r="B60" s="66">
        <v>2026</v>
      </c>
      <c r="C60" s="67"/>
      <c r="D60" s="68" t="s">
        <v>12</v>
      </c>
      <c r="E60" s="68" t="s">
        <v>13</v>
      </c>
      <c r="F60" s="68" t="s">
        <v>14</v>
      </c>
      <c r="G60" s="68" t="s">
        <v>15</v>
      </c>
      <c r="H60" s="68" t="s">
        <v>16</v>
      </c>
      <c r="I60" s="68" t="s">
        <v>17</v>
      </c>
      <c r="J60" s="68" t="s">
        <v>18</v>
      </c>
      <c r="K60" s="68" t="s">
        <v>19</v>
      </c>
      <c r="L60" s="68" t="s">
        <v>20</v>
      </c>
      <c r="M60" s="68" t="s">
        <v>21</v>
      </c>
      <c r="N60" s="68" t="s">
        <v>22</v>
      </c>
      <c r="O60" s="68" t="s">
        <v>23</v>
      </c>
      <c r="P60" s="68" t="s">
        <v>24</v>
      </c>
      <c r="Q60" s="68" t="s">
        <v>25</v>
      </c>
      <c r="R60" s="68" t="s">
        <v>26</v>
      </c>
      <c r="S60" s="68" t="s">
        <v>27</v>
      </c>
      <c r="T60" s="68" t="s">
        <v>28</v>
      </c>
      <c r="U60" s="68" t="s">
        <v>29</v>
      </c>
      <c r="V60" s="68" t="s">
        <v>30</v>
      </c>
      <c r="W60" s="68" t="s">
        <v>31</v>
      </c>
      <c r="X60" s="68" t="s">
        <v>32</v>
      </c>
      <c r="Y60" s="68" t="s">
        <v>183</v>
      </c>
      <c r="Z60" s="68" t="s">
        <v>34</v>
      </c>
      <c r="AA60" s="68" t="s">
        <v>35</v>
      </c>
      <c r="AB60" s="68" t="s">
        <v>36</v>
      </c>
      <c r="AC60" s="68" t="s">
        <v>37</v>
      </c>
      <c r="AD60" s="68" t="s">
        <v>38</v>
      </c>
      <c r="AE60" s="68" t="s">
        <v>39</v>
      </c>
      <c r="AF60" s="68" t="s">
        <v>40</v>
      </c>
      <c r="AG60" s="68" t="s">
        <v>41</v>
      </c>
      <c r="AH60" s="68" t="s">
        <v>42</v>
      </c>
      <c r="AI60" s="68" t="s">
        <v>43</v>
      </c>
      <c r="AJ60" s="68" t="s">
        <v>44</v>
      </c>
      <c r="AK60" s="68" t="s">
        <v>45</v>
      </c>
      <c r="AL60" s="68" t="s">
        <v>46</v>
      </c>
      <c r="AM60" s="68" t="s">
        <v>47</v>
      </c>
      <c r="AN60" s="68" t="s">
        <v>48</v>
      </c>
      <c r="AO60" s="68" t="s">
        <v>49</v>
      </c>
      <c r="AP60" s="68" t="s">
        <v>50</v>
      </c>
      <c r="AQ60" s="68" t="s">
        <v>51</v>
      </c>
      <c r="AR60" s="68" t="s">
        <v>52</v>
      </c>
      <c r="AS60" s="68" t="s">
        <v>53</v>
      </c>
      <c r="AT60" s="68" t="s">
        <v>54</v>
      </c>
      <c r="AU60" s="68" t="s">
        <v>55</v>
      </c>
      <c r="AV60" s="68" t="s">
        <v>56</v>
      </c>
      <c r="AW60" s="68" t="s">
        <v>57</v>
      </c>
      <c r="AX60" s="68" t="s">
        <v>58</v>
      </c>
      <c r="AY60" s="68" t="s">
        <v>59</v>
      </c>
      <c r="AZ60" s="68" t="s">
        <v>60</v>
      </c>
      <c r="BA60" s="68" t="s">
        <v>61</v>
      </c>
      <c r="BB60" s="68" t="s">
        <v>62</v>
      </c>
      <c r="BC60" s="68" t="s">
        <v>63</v>
      </c>
    </row>
    <row r="61" spans="1:55" ht="24" customHeight="1">
      <c r="A61" s="65"/>
      <c r="B61" s="69"/>
      <c r="C61" s="70"/>
      <c r="D61" s="208" t="s">
        <v>184</v>
      </c>
      <c r="E61" s="209"/>
      <c r="F61" s="71"/>
      <c r="G61" s="72"/>
      <c r="H61" s="72"/>
      <c r="I61" s="72"/>
      <c r="J61" s="72"/>
      <c r="K61" s="72"/>
      <c r="L61" s="208" t="s">
        <v>185</v>
      </c>
      <c r="M61" s="209"/>
      <c r="N61" s="71"/>
      <c r="O61" s="72"/>
      <c r="P61" s="73" t="s">
        <v>186</v>
      </c>
      <c r="Q61" s="208" t="s">
        <v>187</v>
      </c>
      <c r="R61" s="209"/>
      <c r="S61" s="214" t="s">
        <v>188</v>
      </c>
      <c r="T61" s="209"/>
      <c r="U61" s="71"/>
      <c r="V61" s="72"/>
      <c r="W61" s="208" t="s">
        <v>189</v>
      </c>
      <c r="X61" s="209"/>
      <c r="Y61" s="71" t="s">
        <v>190</v>
      </c>
      <c r="Z61" s="72"/>
      <c r="AA61" s="72" t="s">
        <v>191</v>
      </c>
      <c r="AB61" s="72"/>
      <c r="AC61" s="72"/>
      <c r="AD61" s="72"/>
      <c r="AE61" s="72"/>
      <c r="AF61" s="72"/>
      <c r="AG61" s="72"/>
      <c r="AH61" s="208" t="s">
        <v>192</v>
      </c>
      <c r="AI61" s="209"/>
      <c r="AJ61" s="71"/>
      <c r="AK61" s="72"/>
      <c r="AL61" s="72"/>
      <c r="AM61" s="72" t="s">
        <v>191</v>
      </c>
      <c r="AN61" s="72"/>
      <c r="AO61" s="72"/>
      <c r="AP61" s="72" t="s">
        <v>8</v>
      </c>
      <c r="AQ61" s="72"/>
      <c r="AR61" s="72"/>
      <c r="AS61" s="72"/>
      <c r="AT61" s="74" t="s">
        <v>9</v>
      </c>
      <c r="AU61" s="71"/>
      <c r="AV61" s="72"/>
      <c r="AW61" s="72"/>
      <c r="AX61" s="72" t="s">
        <v>193</v>
      </c>
      <c r="AY61" s="72" t="s">
        <v>11</v>
      </c>
      <c r="AZ61" s="72" t="s">
        <v>194</v>
      </c>
      <c r="BA61" s="72"/>
      <c r="BB61" s="72"/>
      <c r="BC61" s="72"/>
    </row>
    <row r="62" spans="1:55" ht="19.5" customHeight="1">
      <c r="A62" s="65"/>
      <c r="B62" s="75" t="s">
        <v>64</v>
      </c>
      <c r="C62" s="76"/>
      <c r="D62" s="77">
        <v>46054</v>
      </c>
      <c r="E62" s="77">
        <v>46061</v>
      </c>
      <c r="F62" s="77">
        <v>46068</v>
      </c>
      <c r="G62" s="77">
        <v>46075</v>
      </c>
      <c r="H62" s="77">
        <v>46082</v>
      </c>
      <c r="I62" s="77">
        <v>46089</v>
      </c>
      <c r="J62" s="77">
        <v>46096</v>
      </c>
      <c r="K62" s="77">
        <v>46103</v>
      </c>
      <c r="L62" s="77">
        <v>46110</v>
      </c>
      <c r="M62" s="77">
        <v>46117</v>
      </c>
      <c r="N62" s="77">
        <v>46124</v>
      </c>
      <c r="O62" s="77">
        <v>46131</v>
      </c>
      <c r="P62" s="77">
        <v>46138</v>
      </c>
      <c r="Q62" s="77">
        <v>46145</v>
      </c>
      <c r="R62" s="77">
        <v>46152</v>
      </c>
      <c r="S62" s="77">
        <v>46159</v>
      </c>
      <c r="T62" s="77">
        <v>46166</v>
      </c>
      <c r="U62" s="77">
        <v>46173</v>
      </c>
      <c r="V62" s="77">
        <v>46180</v>
      </c>
      <c r="W62" s="77">
        <v>46187</v>
      </c>
      <c r="X62" s="77">
        <v>46194</v>
      </c>
      <c r="Y62" s="77">
        <v>46201</v>
      </c>
      <c r="Z62" s="77">
        <v>46208</v>
      </c>
      <c r="AA62" s="77">
        <v>46215</v>
      </c>
      <c r="AB62" s="77">
        <v>46222</v>
      </c>
      <c r="AC62" s="77">
        <v>46229</v>
      </c>
      <c r="AD62" s="77">
        <v>46236</v>
      </c>
      <c r="AE62" s="77">
        <v>46243</v>
      </c>
      <c r="AF62" s="77">
        <v>46250</v>
      </c>
      <c r="AG62" s="77">
        <v>46257</v>
      </c>
      <c r="AH62" s="77">
        <v>46264</v>
      </c>
      <c r="AI62" s="77">
        <v>46271</v>
      </c>
      <c r="AJ62" s="77">
        <v>46278</v>
      </c>
      <c r="AK62" s="77">
        <v>46285</v>
      </c>
      <c r="AL62" s="77">
        <v>46292</v>
      </c>
      <c r="AM62" s="77">
        <v>46299</v>
      </c>
      <c r="AN62" s="77">
        <v>46306</v>
      </c>
      <c r="AO62" s="77">
        <v>46313</v>
      </c>
      <c r="AP62" s="77">
        <v>46320</v>
      </c>
      <c r="AQ62" s="77">
        <v>46327</v>
      </c>
      <c r="AR62" s="77">
        <v>46334</v>
      </c>
      <c r="AS62" s="77">
        <v>46341</v>
      </c>
      <c r="AT62" s="77">
        <v>46348</v>
      </c>
      <c r="AU62" s="77">
        <v>46355</v>
      </c>
      <c r="AV62" s="77">
        <v>46362</v>
      </c>
      <c r="AW62" s="77">
        <v>46369</v>
      </c>
      <c r="AX62" s="77">
        <v>46376</v>
      </c>
      <c r="AY62" s="77">
        <v>46383</v>
      </c>
      <c r="AZ62" s="77">
        <v>46390</v>
      </c>
      <c r="BA62" s="77">
        <v>46397</v>
      </c>
      <c r="BB62" s="77">
        <v>46404</v>
      </c>
      <c r="BC62" s="77">
        <v>46411</v>
      </c>
    </row>
    <row r="63" spans="1:55" ht="32.25" customHeight="1">
      <c r="A63" s="78">
        <v>2026</v>
      </c>
      <c r="B63" s="79" t="s">
        <v>195</v>
      </c>
      <c r="C63" s="210" t="s">
        <v>196</v>
      </c>
      <c r="D63" s="80"/>
      <c r="E63" s="80"/>
      <c r="F63" s="80"/>
      <c r="G63" s="80"/>
      <c r="H63" s="81"/>
      <c r="I63" s="82"/>
      <c r="J63" s="82"/>
      <c r="K63" s="82"/>
      <c r="L63" s="82"/>
      <c r="M63" s="82"/>
      <c r="N63" s="83"/>
      <c r="O63" s="80"/>
      <c r="P63" s="80"/>
      <c r="Q63" s="215" t="s">
        <v>197</v>
      </c>
      <c r="R63" s="174"/>
      <c r="S63" s="174"/>
      <c r="T63" s="174"/>
      <c r="U63" s="174"/>
      <c r="V63" s="175"/>
      <c r="W63" s="84"/>
      <c r="X63" s="85"/>
      <c r="Y63" s="80"/>
      <c r="Z63" s="80"/>
      <c r="AA63" s="80"/>
      <c r="AB63" s="80"/>
      <c r="AC63" s="194" t="s">
        <v>198</v>
      </c>
      <c r="AD63" s="174"/>
      <c r="AE63" s="174"/>
      <c r="AF63" s="174"/>
      <c r="AG63" s="174"/>
      <c r="AH63" s="174"/>
      <c r="AI63" s="175"/>
      <c r="AJ63" s="84"/>
      <c r="AK63" s="85"/>
      <c r="AL63" s="85"/>
      <c r="AM63" s="80"/>
      <c r="AN63" s="80"/>
      <c r="AO63" s="80"/>
      <c r="AP63" s="80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7"/>
      <c r="BC63" s="87"/>
    </row>
    <row r="64" spans="1:55" ht="32.25" customHeight="1">
      <c r="A64" s="78">
        <v>2026</v>
      </c>
      <c r="B64" s="88" t="s">
        <v>199</v>
      </c>
      <c r="C64" s="179"/>
      <c r="D64" s="83"/>
      <c r="E64" s="83"/>
      <c r="F64" s="89" t="s">
        <v>200</v>
      </c>
      <c r="G64" s="83"/>
      <c r="H64" s="83"/>
      <c r="I64" s="90"/>
      <c r="J64" s="90"/>
      <c r="K64" s="90"/>
      <c r="L64" s="85"/>
      <c r="M64" s="83"/>
      <c r="N64" s="83"/>
      <c r="O64" s="91" t="s">
        <v>201</v>
      </c>
      <c r="P64" s="91" t="s">
        <v>201</v>
      </c>
      <c r="Q64" s="83"/>
      <c r="R64" s="83"/>
      <c r="S64" s="83"/>
      <c r="T64" s="83"/>
      <c r="U64" s="83"/>
      <c r="V64" s="85"/>
      <c r="W64" s="83"/>
      <c r="X64" s="83"/>
      <c r="Y64" s="83"/>
      <c r="Z64" s="83"/>
      <c r="AA64" s="83"/>
      <c r="AB64" s="92" t="s">
        <v>202</v>
      </c>
      <c r="AC64" s="83"/>
      <c r="AD64" s="83"/>
      <c r="AE64" s="83"/>
      <c r="AF64" s="83"/>
      <c r="AG64" s="83"/>
      <c r="AH64" s="83"/>
      <c r="AI64" s="83"/>
      <c r="AJ64" s="83"/>
      <c r="AK64" s="92" t="s">
        <v>203</v>
      </c>
      <c r="AL64" s="83"/>
      <c r="AM64" s="85"/>
      <c r="AN64" s="83"/>
      <c r="AO64" s="83"/>
      <c r="AP64" s="8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4"/>
      <c r="BC64" s="95"/>
    </row>
    <row r="65" spans="1:55" ht="32.25" customHeight="1">
      <c r="A65" s="78">
        <v>2026</v>
      </c>
      <c r="B65" s="88" t="s">
        <v>204</v>
      </c>
      <c r="C65" s="179"/>
      <c r="D65" s="83"/>
      <c r="E65" s="85"/>
      <c r="F65" s="83"/>
      <c r="G65" s="83"/>
      <c r="H65" s="83"/>
      <c r="I65" s="85"/>
      <c r="J65" s="83"/>
      <c r="K65" s="83"/>
      <c r="L65" s="83"/>
      <c r="M65" s="83"/>
      <c r="N65" s="83"/>
      <c r="O65" s="96" t="s">
        <v>205</v>
      </c>
      <c r="P65" s="97" t="s">
        <v>206</v>
      </c>
      <c r="Q65" s="98" t="s">
        <v>207</v>
      </c>
      <c r="R65" s="99"/>
      <c r="S65" s="99"/>
      <c r="T65" s="99"/>
      <c r="U65" s="99"/>
      <c r="V65" s="99"/>
      <c r="W65" s="99"/>
      <c r="X65" s="99"/>
      <c r="Y65" s="99"/>
      <c r="Z65" s="99"/>
      <c r="AA65" s="100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2"/>
      <c r="BC65" s="103"/>
    </row>
    <row r="66" spans="1:55" ht="32.25" customHeight="1">
      <c r="A66" s="78">
        <v>2026</v>
      </c>
      <c r="B66" s="88" t="s">
        <v>208</v>
      </c>
      <c r="C66" s="179"/>
      <c r="D66" s="83"/>
      <c r="E66" s="83"/>
      <c r="F66" s="83"/>
      <c r="G66" s="85"/>
      <c r="H66" s="83"/>
      <c r="I66" s="104"/>
      <c r="J66" s="104"/>
      <c r="K66" s="104"/>
      <c r="L66" s="104"/>
      <c r="M66" s="83"/>
      <c r="N66" s="83"/>
      <c r="O66" s="83"/>
      <c r="P66" s="97" t="s">
        <v>206</v>
      </c>
      <c r="Q66" s="98" t="s">
        <v>207</v>
      </c>
      <c r="R66" s="105"/>
      <c r="S66" s="99"/>
      <c r="T66" s="99"/>
      <c r="U66" s="99"/>
      <c r="V66" s="99"/>
      <c r="W66" s="99"/>
      <c r="X66" s="99"/>
      <c r="Y66" s="99"/>
      <c r="Z66" s="99"/>
      <c r="AA66" s="106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2"/>
      <c r="BC66" s="103"/>
    </row>
    <row r="67" spans="1:55" ht="32.25" customHeight="1">
      <c r="A67" s="78">
        <v>2026</v>
      </c>
      <c r="B67" s="88" t="s">
        <v>209</v>
      </c>
      <c r="C67" s="179"/>
      <c r="D67" s="83"/>
      <c r="E67" s="83"/>
      <c r="F67" s="83"/>
      <c r="G67" s="83"/>
      <c r="H67" s="107" t="s">
        <v>210</v>
      </c>
      <c r="I67" s="108"/>
      <c r="J67" s="108"/>
      <c r="K67" s="109" t="s">
        <v>210</v>
      </c>
      <c r="L67" s="110" t="s">
        <v>210</v>
      </c>
      <c r="M67" s="90"/>
      <c r="N67" s="83"/>
      <c r="O67" s="83"/>
      <c r="P67" s="83"/>
      <c r="Q67" s="83"/>
      <c r="R67" s="83"/>
      <c r="S67" s="111" t="s">
        <v>211</v>
      </c>
      <c r="T67" s="83"/>
      <c r="U67" s="83"/>
      <c r="V67" s="83"/>
      <c r="W67" s="111" t="s">
        <v>212</v>
      </c>
      <c r="X67" s="85"/>
      <c r="Y67" s="83"/>
      <c r="Z67" s="83"/>
      <c r="AA67" s="97" t="s">
        <v>213</v>
      </c>
      <c r="AB67" s="83"/>
      <c r="AC67" s="192" t="s">
        <v>214</v>
      </c>
      <c r="AD67" s="174"/>
      <c r="AE67" s="174"/>
      <c r="AF67" s="174"/>
      <c r="AG67" s="174"/>
      <c r="AH67" s="174"/>
      <c r="AI67" s="175"/>
      <c r="AJ67" s="85"/>
      <c r="AK67" s="85"/>
      <c r="AL67" s="85"/>
      <c r="AM67" s="83"/>
      <c r="AN67" s="83"/>
      <c r="AO67" s="83"/>
      <c r="AP67" s="8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4"/>
      <c r="BC67" s="95"/>
    </row>
    <row r="68" spans="1:55" ht="32.25" customHeight="1">
      <c r="A68" s="78">
        <v>2026</v>
      </c>
      <c r="B68" s="88" t="s">
        <v>215</v>
      </c>
      <c r="C68" s="179"/>
      <c r="D68" s="83"/>
      <c r="E68" s="83"/>
      <c r="F68" s="83"/>
      <c r="G68" s="83"/>
      <c r="H68" s="112" t="s">
        <v>216</v>
      </c>
      <c r="I68" s="108"/>
      <c r="J68" s="108"/>
      <c r="K68" s="113" t="s">
        <v>216</v>
      </c>
      <c r="L68" s="114" t="s">
        <v>216</v>
      </c>
      <c r="M68" s="90"/>
      <c r="N68" s="83"/>
      <c r="O68" s="83"/>
      <c r="P68" s="83"/>
      <c r="Q68" s="83"/>
      <c r="R68" s="83"/>
      <c r="S68" s="115" t="s">
        <v>217</v>
      </c>
      <c r="T68" s="116"/>
      <c r="U68" s="83"/>
      <c r="V68" s="83"/>
      <c r="W68" s="111" t="s">
        <v>212</v>
      </c>
      <c r="X68" s="85"/>
      <c r="Y68" s="83"/>
      <c r="Z68" s="83"/>
      <c r="AA68" s="97" t="s">
        <v>213</v>
      </c>
      <c r="AB68" s="83"/>
      <c r="AC68" s="192" t="s">
        <v>214</v>
      </c>
      <c r="AD68" s="174"/>
      <c r="AE68" s="174"/>
      <c r="AF68" s="174"/>
      <c r="AG68" s="174"/>
      <c r="AH68" s="174"/>
      <c r="AI68" s="175"/>
      <c r="AJ68" s="85"/>
      <c r="AK68" s="85"/>
      <c r="AL68" s="85"/>
      <c r="AM68" s="83"/>
      <c r="AN68" s="83"/>
      <c r="AO68" s="83"/>
      <c r="AP68" s="8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4"/>
      <c r="BC68" s="95"/>
    </row>
    <row r="69" spans="1:55" ht="32.25" customHeight="1">
      <c r="A69" s="78">
        <v>2026</v>
      </c>
      <c r="B69" s="117" t="s">
        <v>218</v>
      </c>
      <c r="C69" s="199"/>
      <c r="D69" s="118"/>
      <c r="E69" s="118"/>
      <c r="F69" s="118"/>
      <c r="G69" s="118"/>
      <c r="H69" s="118"/>
      <c r="I69" s="118"/>
      <c r="J69" s="119" t="s">
        <v>219</v>
      </c>
      <c r="K69" s="118"/>
      <c r="L69" s="118"/>
      <c r="M69" s="118"/>
      <c r="N69" s="118"/>
      <c r="O69" s="118"/>
      <c r="P69" s="118"/>
      <c r="Q69" s="120" t="s">
        <v>220</v>
      </c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 t="s">
        <v>221</v>
      </c>
      <c r="AG69" s="118"/>
      <c r="AH69" s="118"/>
      <c r="AI69" s="118"/>
      <c r="AJ69" s="118"/>
      <c r="AK69" s="118"/>
      <c r="AL69" s="118"/>
      <c r="AM69" s="118" t="s">
        <v>221</v>
      </c>
      <c r="AN69" s="118"/>
      <c r="AO69" s="118"/>
      <c r="AP69" s="118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2"/>
      <c r="BC69" s="122"/>
    </row>
    <row r="70" spans="1:55" ht="32.25" customHeight="1">
      <c r="A70" s="78">
        <v>2026</v>
      </c>
      <c r="B70" s="88" t="s">
        <v>195</v>
      </c>
      <c r="C70" s="211" t="s">
        <v>222</v>
      </c>
      <c r="D70" s="90"/>
      <c r="E70" s="90"/>
      <c r="F70" s="90"/>
      <c r="G70" s="90"/>
      <c r="H70" s="90"/>
      <c r="I70" s="123"/>
      <c r="J70" s="124"/>
      <c r="K70" s="125"/>
      <c r="L70" s="124"/>
      <c r="M70" s="126"/>
      <c r="N70" s="90"/>
      <c r="O70" s="90"/>
      <c r="P70" s="90"/>
      <c r="Q70" s="195" t="s">
        <v>223</v>
      </c>
      <c r="R70" s="189"/>
      <c r="S70" s="189"/>
      <c r="T70" s="189"/>
      <c r="U70" s="189"/>
      <c r="V70" s="190"/>
      <c r="W70" s="127"/>
      <c r="X70" s="128"/>
      <c r="Y70" s="90"/>
      <c r="Z70" s="90"/>
      <c r="AA70" s="90"/>
      <c r="AB70" s="90"/>
      <c r="AC70" s="191" t="s">
        <v>198</v>
      </c>
      <c r="AD70" s="174"/>
      <c r="AE70" s="174"/>
      <c r="AF70" s="174"/>
      <c r="AG70" s="174"/>
      <c r="AH70" s="174"/>
      <c r="AI70" s="174"/>
      <c r="AJ70" s="127"/>
      <c r="AK70" s="128"/>
      <c r="AL70" s="128"/>
      <c r="AM70" s="90"/>
      <c r="AN70" s="90"/>
      <c r="AO70" s="90"/>
      <c r="AP70" s="90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95"/>
      <c r="BC70" s="95"/>
    </row>
    <row r="71" spans="1:55" ht="32.25" customHeight="1">
      <c r="A71" s="78">
        <v>2026</v>
      </c>
      <c r="B71" s="88" t="s">
        <v>199</v>
      </c>
      <c r="C71" s="179"/>
      <c r="D71" s="83"/>
      <c r="E71" s="83"/>
      <c r="F71" s="89" t="s">
        <v>200</v>
      </c>
      <c r="G71" s="83"/>
      <c r="H71" s="83"/>
      <c r="I71" s="83"/>
      <c r="J71" s="83"/>
      <c r="K71" s="83"/>
      <c r="L71" s="85"/>
      <c r="M71" s="83"/>
      <c r="N71" s="83"/>
      <c r="O71" s="91" t="s">
        <v>201</v>
      </c>
      <c r="P71" s="111" t="s">
        <v>201</v>
      </c>
      <c r="Q71" s="104"/>
      <c r="R71" s="83"/>
      <c r="S71" s="83"/>
      <c r="T71" s="83"/>
      <c r="U71" s="83"/>
      <c r="V71" s="85"/>
      <c r="W71" s="83"/>
      <c r="X71" s="83"/>
      <c r="Y71" s="83"/>
      <c r="Z71" s="83"/>
      <c r="AA71" s="85"/>
      <c r="AB71" s="92" t="s">
        <v>202</v>
      </c>
      <c r="AC71" s="83"/>
      <c r="AD71" s="83"/>
      <c r="AE71" s="85"/>
      <c r="AF71" s="83"/>
      <c r="AG71" s="83"/>
      <c r="AH71" s="83"/>
      <c r="AI71" s="83"/>
      <c r="AJ71" s="83"/>
      <c r="AK71" s="92" t="s">
        <v>224</v>
      </c>
      <c r="AL71" s="83"/>
      <c r="AM71" s="85" t="s">
        <v>225</v>
      </c>
      <c r="AN71" s="83"/>
      <c r="AO71" s="83"/>
      <c r="AP71" s="8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4"/>
      <c r="BC71" s="95"/>
    </row>
    <row r="72" spans="1:55" ht="32.25" customHeight="1">
      <c r="A72" s="78">
        <v>2026</v>
      </c>
      <c r="B72" s="88" t="s">
        <v>204</v>
      </c>
      <c r="C72" s="179"/>
      <c r="D72" s="83"/>
      <c r="E72" s="85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130" t="s">
        <v>226</v>
      </c>
      <c r="Q72" s="98" t="s">
        <v>207</v>
      </c>
      <c r="R72" s="131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105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2"/>
      <c r="BC72" s="103"/>
    </row>
    <row r="73" spans="1:55" ht="32.25" customHeight="1">
      <c r="A73" s="78">
        <v>2026</v>
      </c>
      <c r="B73" s="88" t="s">
        <v>208</v>
      </c>
      <c r="C73" s="179"/>
      <c r="D73" s="83"/>
      <c r="E73" s="83"/>
      <c r="F73" s="83"/>
      <c r="G73" s="85"/>
      <c r="H73" s="83"/>
      <c r="I73" s="104"/>
      <c r="J73" s="104"/>
      <c r="K73" s="104"/>
      <c r="L73" s="104"/>
      <c r="M73" s="83"/>
      <c r="N73" s="83"/>
      <c r="O73" s="83"/>
      <c r="P73" s="96" t="s">
        <v>226</v>
      </c>
      <c r="Q73" s="98" t="s">
        <v>207</v>
      </c>
      <c r="R73" s="99"/>
      <c r="S73" s="99"/>
      <c r="T73" s="99"/>
      <c r="U73" s="99"/>
      <c r="V73" s="99"/>
      <c r="W73" s="99"/>
      <c r="X73" s="99"/>
      <c r="Y73" s="99"/>
      <c r="Z73" s="99"/>
      <c r="AA73" s="132"/>
      <c r="AB73" s="99"/>
      <c r="AC73" s="99"/>
      <c r="AD73" s="99"/>
      <c r="AE73" s="99"/>
      <c r="AF73" s="105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2"/>
      <c r="BC73" s="103"/>
    </row>
    <row r="74" spans="1:55" ht="32.25" customHeight="1">
      <c r="A74" s="78">
        <v>2026</v>
      </c>
      <c r="B74" s="88" t="s">
        <v>209</v>
      </c>
      <c r="C74" s="179"/>
      <c r="D74" s="83"/>
      <c r="E74" s="83"/>
      <c r="F74" s="83"/>
      <c r="G74" s="83"/>
      <c r="H74" s="107" t="s">
        <v>210</v>
      </c>
      <c r="I74" s="108"/>
      <c r="J74" s="108"/>
      <c r="K74" s="110" t="s">
        <v>210</v>
      </c>
      <c r="L74" s="110" t="s">
        <v>210</v>
      </c>
      <c r="M74" s="90"/>
      <c r="N74" s="83"/>
      <c r="O74" s="83"/>
      <c r="P74" s="83"/>
      <c r="Q74" s="83"/>
      <c r="R74" s="83"/>
      <c r="S74" s="111" t="s">
        <v>227</v>
      </c>
      <c r="T74" s="83"/>
      <c r="U74" s="99" t="s">
        <v>228</v>
      </c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133"/>
      <c r="AJ74" s="99"/>
      <c r="AK74" s="99"/>
      <c r="AL74" s="99"/>
      <c r="AM74" s="99"/>
      <c r="AN74" s="99"/>
      <c r="AO74" s="99"/>
      <c r="AP74" s="99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2"/>
      <c r="BC74" s="103"/>
    </row>
    <row r="75" spans="1:55" ht="32.25" customHeight="1">
      <c r="A75" s="78">
        <v>2026</v>
      </c>
      <c r="B75" s="88" t="s">
        <v>215</v>
      </c>
      <c r="C75" s="179"/>
      <c r="D75" s="83"/>
      <c r="E75" s="83"/>
      <c r="F75" s="83"/>
      <c r="G75" s="83"/>
      <c r="H75" s="134" t="s">
        <v>216</v>
      </c>
      <c r="I75" s="108"/>
      <c r="J75" s="108"/>
      <c r="K75" s="114" t="s">
        <v>216</v>
      </c>
      <c r="L75" s="114" t="s">
        <v>216</v>
      </c>
      <c r="M75" s="90"/>
      <c r="N75" s="83"/>
      <c r="O75" s="83"/>
      <c r="P75" s="83"/>
      <c r="Q75" s="83"/>
      <c r="R75" s="83"/>
      <c r="S75" s="115" t="s">
        <v>229</v>
      </c>
      <c r="T75" s="83"/>
      <c r="U75" s="83"/>
      <c r="V75" s="83"/>
      <c r="W75" s="111" t="s">
        <v>212</v>
      </c>
      <c r="X75" s="85"/>
      <c r="Y75" s="83"/>
      <c r="Z75" s="83"/>
      <c r="AA75" s="97" t="s">
        <v>230</v>
      </c>
      <c r="AB75" s="83"/>
      <c r="AC75" s="192" t="s">
        <v>214</v>
      </c>
      <c r="AD75" s="174"/>
      <c r="AE75" s="174"/>
      <c r="AF75" s="174"/>
      <c r="AG75" s="174"/>
      <c r="AH75" s="174"/>
      <c r="AI75" s="175"/>
      <c r="AJ75" s="84"/>
      <c r="AK75" s="85"/>
      <c r="AL75" s="85"/>
      <c r="AM75" s="83"/>
      <c r="AN75" s="83"/>
      <c r="AO75" s="83"/>
      <c r="AP75" s="8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4"/>
      <c r="BC75" s="95"/>
    </row>
    <row r="76" spans="1:55" ht="32.25" customHeight="1">
      <c r="A76" s="78">
        <v>2026</v>
      </c>
      <c r="B76" s="117" t="s">
        <v>218</v>
      </c>
      <c r="C76" s="199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20" t="s">
        <v>220</v>
      </c>
      <c r="X76" s="118"/>
      <c r="Y76" s="118"/>
      <c r="Z76" s="118"/>
      <c r="AA76" s="119" t="s">
        <v>231</v>
      </c>
      <c r="AB76" s="118"/>
      <c r="AC76" s="118"/>
      <c r="AD76" s="118"/>
      <c r="AE76" s="118"/>
      <c r="AF76" s="118"/>
      <c r="AG76" s="118"/>
      <c r="AH76" s="118"/>
      <c r="AI76" s="118"/>
      <c r="AJ76" s="104"/>
      <c r="AK76" s="104"/>
      <c r="AL76" s="104"/>
      <c r="AM76" s="104"/>
      <c r="AN76" s="104"/>
      <c r="AO76" s="104"/>
      <c r="AP76" s="104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2"/>
      <c r="BC76" s="122"/>
    </row>
    <row r="77" spans="1:55" ht="32.25" customHeight="1">
      <c r="A77" s="78">
        <v>2026</v>
      </c>
      <c r="B77" s="88" t="s">
        <v>195</v>
      </c>
      <c r="C77" s="202" t="s">
        <v>232</v>
      </c>
      <c r="D77" s="196" t="s">
        <v>233</v>
      </c>
      <c r="E77" s="189"/>
      <c r="F77" s="189"/>
      <c r="G77" s="189"/>
      <c r="H77" s="189"/>
      <c r="I77" s="190"/>
      <c r="J77" s="90"/>
      <c r="K77" s="90"/>
      <c r="L77" s="90"/>
      <c r="M77" s="188" t="s">
        <v>234</v>
      </c>
      <c r="N77" s="189"/>
      <c r="O77" s="189"/>
      <c r="P77" s="190"/>
      <c r="Q77" s="90"/>
      <c r="R77" s="90"/>
      <c r="S77" s="90"/>
      <c r="T77" s="197" t="s">
        <v>235</v>
      </c>
      <c r="U77" s="189"/>
      <c r="V77" s="189"/>
      <c r="W77" s="189"/>
      <c r="X77" s="1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135"/>
      <c r="AJ77" s="217" t="s">
        <v>236</v>
      </c>
      <c r="AK77" s="218"/>
      <c r="AL77" s="218"/>
      <c r="AM77" s="218"/>
      <c r="AN77" s="218"/>
      <c r="AO77" s="218"/>
      <c r="AP77" s="21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95"/>
      <c r="BC77" s="95"/>
    </row>
    <row r="78" spans="1:55" ht="32.25" customHeight="1">
      <c r="A78" s="78">
        <v>2026</v>
      </c>
      <c r="B78" s="88" t="s">
        <v>199</v>
      </c>
      <c r="C78" s="179"/>
      <c r="D78" s="83"/>
      <c r="E78" s="83"/>
      <c r="F78" s="83"/>
      <c r="G78" s="136"/>
      <c r="H78" s="83"/>
      <c r="I78" s="83"/>
      <c r="J78" s="83"/>
      <c r="K78" s="83"/>
      <c r="L78" s="85"/>
      <c r="M78" s="83"/>
      <c r="N78" s="83"/>
      <c r="O78" s="91" t="s">
        <v>201</v>
      </c>
      <c r="P78" s="91" t="s">
        <v>201</v>
      </c>
      <c r="Q78" s="83"/>
      <c r="R78" s="83"/>
      <c r="S78" s="83"/>
      <c r="T78" s="83"/>
      <c r="U78" s="83"/>
      <c r="V78" s="85"/>
      <c r="W78" s="83"/>
      <c r="X78" s="83"/>
      <c r="Y78" s="83"/>
      <c r="Z78" s="83"/>
      <c r="AA78" s="83"/>
      <c r="AB78" s="92" t="s">
        <v>202</v>
      </c>
      <c r="AC78" s="83"/>
      <c r="AD78" s="83"/>
      <c r="AE78" s="83"/>
      <c r="AF78" s="83"/>
      <c r="AG78" s="83"/>
      <c r="AH78" s="83"/>
      <c r="AI78" s="83"/>
      <c r="AJ78" s="83"/>
      <c r="AK78" s="92" t="s">
        <v>224</v>
      </c>
      <c r="AL78" s="83"/>
      <c r="AM78" s="85"/>
      <c r="AN78" s="83"/>
      <c r="AO78" s="83"/>
      <c r="AP78" s="8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4"/>
      <c r="BC78" s="95"/>
    </row>
    <row r="79" spans="1:55" ht="32.25" customHeight="1">
      <c r="A79" s="78">
        <v>2026</v>
      </c>
      <c r="B79" s="88" t="s">
        <v>237</v>
      </c>
      <c r="C79" s="179"/>
      <c r="D79" s="104"/>
      <c r="E79" s="104"/>
      <c r="F79" s="104"/>
      <c r="G79" s="104"/>
      <c r="H79" s="104"/>
      <c r="I79" s="104"/>
      <c r="J79" s="83"/>
      <c r="K79" s="83"/>
      <c r="L79" s="83"/>
      <c r="M79" s="83"/>
      <c r="N79" s="96" t="s">
        <v>238</v>
      </c>
      <c r="O79" s="83"/>
      <c r="P79" s="83"/>
      <c r="Q79" s="98" t="s">
        <v>207</v>
      </c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105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2"/>
      <c r="BC79" s="103"/>
    </row>
    <row r="80" spans="1:55" ht="32.25" customHeight="1">
      <c r="A80" s="78">
        <v>2026</v>
      </c>
      <c r="B80" s="88" t="s">
        <v>239</v>
      </c>
      <c r="C80" s="179"/>
      <c r="D80" s="108"/>
      <c r="E80" s="108"/>
      <c r="F80" s="108"/>
      <c r="G80" s="108"/>
      <c r="H80" s="108"/>
      <c r="I80" s="108"/>
      <c r="J80" s="90"/>
      <c r="K80" s="83"/>
      <c r="L80" s="83"/>
      <c r="M80" s="216" t="s">
        <v>240</v>
      </c>
      <c r="N80" s="175"/>
      <c r="O80" s="83"/>
      <c r="P80" s="83"/>
      <c r="Q80" s="83"/>
      <c r="R80" s="83"/>
      <c r="S80" s="83"/>
      <c r="T80" s="137" t="s">
        <v>241</v>
      </c>
      <c r="U80" s="85"/>
      <c r="V80" s="85"/>
      <c r="W80" s="111" t="s">
        <v>212</v>
      </c>
      <c r="X80" s="85"/>
      <c r="Y80" s="83"/>
      <c r="Z80" s="83"/>
      <c r="AA80" s="110" t="s">
        <v>242</v>
      </c>
      <c r="AB80" s="83"/>
      <c r="AC80" s="83"/>
      <c r="AD80" s="83"/>
      <c r="AE80" s="83"/>
      <c r="AF80" s="85" t="s">
        <v>243</v>
      </c>
      <c r="AG80" s="83"/>
      <c r="AH80" s="83"/>
      <c r="AI80" s="34"/>
      <c r="AJ80" s="191" t="s">
        <v>244</v>
      </c>
      <c r="AK80" s="174"/>
      <c r="AL80" s="174"/>
      <c r="AM80" s="174"/>
      <c r="AN80" s="174"/>
      <c r="AO80" s="174"/>
      <c r="AP80" s="175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94"/>
      <c r="BC80" s="95"/>
    </row>
    <row r="81" spans="1:55" ht="32.25" customHeight="1">
      <c r="A81" s="78">
        <v>2026</v>
      </c>
      <c r="B81" s="117" t="s">
        <v>218</v>
      </c>
      <c r="C81" s="199"/>
      <c r="D81" s="118"/>
      <c r="E81" s="118"/>
      <c r="F81" s="118"/>
      <c r="G81" s="118"/>
      <c r="H81" s="118"/>
      <c r="I81" s="118"/>
      <c r="J81" s="118" t="s">
        <v>219</v>
      </c>
      <c r="K81" s="118"/>
      <c r="L81" s="118"/>
      <c r="M81" s="118"/>
      <c r="N81" s="118"/>
      <c r="O81" s="118"/>
      <c r="P81" s="120" t="s">
        <v>245</v>
      </c>
      <c r="Q81" s="13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39"/>
      <c r="AK81" s="118"/>
      <c r="AL81" s="118"/>
      <c r="AM81" s="118"/>
      <c r="AN81" s="120" t="s">
        <v>220</v>
      </c>
      <c r="AO81" s="118"/>
      <c r="AP81" s="118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2"/>
      <c r="BC81" s="122"/>
    </row>
    <row r="82" spans="1:55" ht="32.25" customHeight="1">
      <c r="A82" s="78">
        <v>2026</v>
      </c>
      <c r="B82" s="88" t="s">
        <v>195</v>
      </c>
      <c r="C82" s="198" t="s">
        <v>246</v>
      </c>
      <c r="D82" s="196" t="s">
        <v>247</v>
      </c>
      <c r="E82" s="189"/>
      <c r="F82" s="189"/>
      <c r="G82" s="189"/>
      <c r="H82" s="189"/>
      <c r="I82" s="189"/>
      <c r="J82" s="189"/>
      <c r="K82" s="189"/>
      <c r="L82" s="189"/>
      <c r="M82" s="190"/>
      <c r="N82" s="90"/>
      <c r="O82" s="90"/>
      <c r="P82" s="90"/>
      <c r="Q82" s="90"/>
      <c r="R82" s="195" t="s">
        <v>248</v>
      </c>
      <c r="S82" s="189"/>
      <c r="T82" s="189"/>
      <c r="U82" s="189"/>
      <c r="V82" s="190"/>
      <c r="W82" s="128"/>
      <c r="X82" s="128"/>
      <c r="Y82" s="90"/>
      <c r="Z82" s="90"/>
      <c r="AA82" s="90"/>
      <c r="AB82" s="90"/>
      <c r="AC82" s="196" t="s">
        <v>249</v>
      </c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90"/>
      <c r="AQ82" s="129"/>
      <c r="AR82" s="129"/>
      <c r="AS82" s="129"/>
      <c r="AT82" s="129"/>
      <c r="AU82" s="129"/>
      <c r="AV82" s="129"/>
      <c r="AW82" s="129"/>
      <c r="AX82" s="129"/>
      <c r="AY82" s="188" t="s">
        <v>250</v>
      </c>
      <c r="AZ82" s="189"/>
      <c r="BA82" s="189"/>
      <c r="BB82" s="189"/>
      <c r="BC82" s="190"/>
    </row>
    <row r="83" spans="1:55" ht="32.25" customHeight="1">
      <c r="A83" s="78">
        <v>2026</v>
      </c>
      <c r="B83" s="88" t="s">
        <v>199</v>
      </c>
      <c r="C83" s="179"/>
      <c r="D83" s="83"/>
      <c r="E83" s="83"/>
      <c r="F83" s="83"/>
      <c r="G83" s="83"/>
      <c r="H83" s="83"/>
      <c r="I83" s="90"/>
      <c r="J83" s="90"/>
      <c r="K83" s="90"/>
      <c r="L83" s="85"/>
      <c r="M83" s="83"/>
      <c r="N83" s="83"/>
      <c r="O83" s="192" t="s">
        <v>201</v>
      </c>
      <c r="P83" s="175"/>
      <c r="Q83" s="83"/>
      <c r="R83" s="83"/>
      <c r="S83" s="83"/>
      <c r="T83" s="83"/>
      <c r="U83" s="83"/>
      <c r="V83" s="85"/>
      <c r="W83" s="92" t="s">
        <v>251</v>
      </c>
      <c r="X83" s="83"/>
      <c r="Y83" s="83"/>
      <c r="Z83" s="85"/>
      <c r="AA83" s="85"/>
      <c r="AB83" s="92" t="s">
        <v>202</v>
      </c>
      <c r="AC83" s="83"/>
      <c r="AD83" s="104"/>
      <c r="AE83" s="140"/>
      <c r="AF83" s="83"/>
      <c r="AG83" s="83"/>
      <c r="AH83" s="83"/>
      <c r="AI83" s="83"/>
      <c r="AJ83" s="83"/>
      <c r="AK83" s="92" t="s">
        <v>224</v>
      </c>
      <c r="AL83" s="83"/>
      <c r="AM83" s="85"/>
      <c r="AN83" s="83"/>
      <c r="AO83" s="83"/>
      <c r="AP83" s="97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4"/>
      <c r="BC83" s="95"/>
    </row>
    <row r="84" spans="1:55" ht="32.25" hidden="1" customHeight="1">
      <c r="A84" s="78">
        <v>2026</v>
      </c>
      <c r="B84" s="88" t="s">
        <v>252</v>
      </c>
      <c r="C84" s="179"/>
      <c r="D84" s="83"/>
      <c r="E84" s="85"/>
      <c r="F84" s="83"/>
      <c r="G84" s="83"/>
      <c r="H84" s="83"/>
      <c r="I84" s="83"/>
      <c r="J84" s="83"/>
      <c r="K84" s="83"/>
      <c r="L84" s="141"/>
      <c r="M84" s="83"/>
      <c r="N84" s="83"/>
      <c r="O84" s="142"/>
      <c r="P84" s="97" t="s">
        <v>253</v>
      </c>
      <c r="Q84" s="98" t="s">
        <v>207</v>
      </c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143"/>
      <c r="AD84" s="144"/>
      <c r="AE84" s="99"/>
      <c r="AF84" s="131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2"/>
      <c r="BC84" s="103"/>
    </row>
    <row r="85" spans="1:55" ht="32.25" hidden="1" customHeight="1">
      <c r="A85" s="78">
        <v>2026</v>
      </c>
      <c r="B85" s="88" t="s">
        <v>254</v>
      </c>
      <c r="C85" s="179"/>
      <c r="D85" s="99"/>
      <c r="E85" s="99"/>
      <c r="F85" s="99"/>
      <c r="G85" s="99"/>
      <c r="H85" s="99"/>
      <c r="I85" s="99"/>
      <c r="J85" s="99" t="s">
        <v>255</v>
      </c>
      <c r="K85" s="99" t="s">
        <v>255</v>
      </c>
      <c r="L85" s="145"/>
      <c r="M85" s="83"/>
      <c r="N85" s="83"/>
      <c r="O85" s="146"/>
      <c r="P85" s="97" t="s">
        <v>253</v>
      </c>
      <c r="Q85" s="98" t="s">
        <v>207</v>
      </c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143"/>
      <c r="AD85" s="144"/>
      <c r="AE85" s="99"/>
      <c r="AF85" s="131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2"/>
      <c r="BC85" s="103"/>
    </row>
    <row r="86" spans="1:55" ht="32.25" hidden="1" customHeight="1">
      <c r="A86" s="78">
        <v>2026</v>
      </c>
      <c r="B86" s="88" t="s">
        <v>256</v>
      </c>
      <c r="C86" s="179"/>
      <c r="D86" s="99"/>
      <c r="E86" s="99"/>
      <c r="F86" s="99"/>
      <c r="G86" s="99"/>
      <c r="H86" s="99"/>
      <c r="I86" s="99"/>
      <c r="J86" s="99" t="s">
        <v>255</v>
      </c>
      <c r="K86" s="99" t="s">
        <v>255</v>
      </c>
      <c r="L86" s="141"/>
      <c r="M86" s="83"/>
      <c r="N86" s="83"/>
      <c r="O86" s="147"/>
      <c r="P86" s="97" t="s">
        <v>253</v>
      </c>
      <c r="Q86" s="98" t="s">
        <v>207</v>
      </c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143"/>
      <c r="AD86" s="144"/>
      <c r="AE86" s="99"/>
      <c r="AF86" s="131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2"/>
      <c r="BC86" s="103"/>
    </row>
    <row r="87" spans="1:55" ht="32.25" hidden="1" customHeight="1">
      <c r="A87" s="78">
        <v>2026</v>
      </c>
      <c r="B87" s="88" t="s">
        <v>257</v>
      </c>
      <c r="C87" s="179"/>
      <c r="D87" s="83"/>
      <c r="E87" s="85"/>
      <c r="F87" s="141"/>
      <c r="G87" s="83"/>
      <c r="H87" s="83"/>
      <c r="I87" s="104"/>
      <c r="J87" s="104"/>
      <c r="K87" s="104"/>
      <c r="L87" s="148"/>
      <c r="M87" s="83"/>
      <c r="N87" s="83"/>
      <c r="O87" s="85"/>
      <c r="P87" s="97" t="s">
        <v>253</v>
      </c>
      <c r="Q87" s="98" t="s">
        <v>207</v>
      </c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143"/>
      <c r="AD87" s="144"/>
      <c r="AE87" s="99"/>
      <c r="AF87" s="131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2"/>
      <c r="BC87" s="103"/>
    </row>
    <row r="88" spans="1:55" ht="32.25" customHeight="1">
      <c r="A88" s="78">
        <v>2026</v>
      </c>
      <c r="B88" s="88" t="s">
        <v>258</v>
      </c>
      <c r="C88" s="179"/>
      <c r="D88" s="194" t="s">
        <v>259</v>
      </c>
      <c r="E88" s="174"/>
      <c r="F88" s="174"/>
      <c r="G88" s="174"/>
      <c r="H88" s="174"/>
      <c r="I88" s="174"/>
      <c r="J88" s="85" t="s">
        <v>260</v>
      </c>
      <c r="K88" s="85" t="s">
        <v>260</v>
      </c>
      <c r="L88" s="191" t="s">
        <v>261</v>
      </c>
      <c r="M88" s="175"/>
      <c r="N88" s="83"/>
      <c r="O88" s="83"/>
      <c r="P88" s="83"/>
      <c r="Q88" s="111" t="s">
        <v>262</v>
      </c>
      <c r="R88" s="83"/>
      <c r="S88" s="83"/>
      <c r="T88" s="85"/>
      <c r="U88" s="85"/>
      <c r="V88" s="85"/>
      <c r="W88" s="97" t="s">
        <v>263</v>
      </c>
      <c r="X88" s="85"/>
      <c r="Y88" s="83"/>
      <c r="Z88" s="83"/>
      <c r="AA88" s="110" t="s">
        <v>242</v>
      </c>
      <c r="AB88" s="83"/>
      <c r="AC88" s="191" t="s">
        <v>264</v>
      </c>
      <c r="AD88" s="174"/>
      <c r="AE88" s="174"/>
      <c r="AF88" s="174"/>
      <c r="AG88" s="174"/>
      <c r="AH88" s="174"/>
      <c r="AI88" s="174"/>
      <c r="AJ88" s="174"/>
      <c r="AK88" s="174"/>
      <c r="AL88" s="174"/>
      <c r="AM88" s="174"/>
      <c r="AN88" s="174"/>
      <c r="AO88" s="174"/>
      <c r="AP88" s="175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4"/>
      <c r="BC88" s="95"/>
    </row>
    <row r="89" spans="1:55" ht="32.25" customHeight="1">
      <c r="A89" s="78">
        <v>2026</v>
      </c>
      <c r="B89" s="88" t="s">
        <v>265</v>
      </c>
      <c r="C89" s="179"/>
      <c r="D89" s="99"/>
      <c r="E89" s="99"/>
      <c r="F89" s="99"/>
      <c r="G89" s="99"/>
      <c r="H89" s="143"/>
      <c r="I89" s="149"/>
      <c r="J89" s="150" t="s">
        <v>255</v>
      </c>
      <c r="K89" s="150" t="s">
        <v>255</v>
      </c>
      <c r="L89" s="191" t="s">
        <v>261</v>
      </c>
      <c r="M89" s="175"/>
      <c r="N89" s="83"/>
      <c r="O89" s="83"/>
      <c r="P89" s="85"/>
      <c r="Q89" s="111" t="s">
        <v>262</v>
      </c>
      <c r="R89" s="83"/>
      <c r="S89" s="83"/>
      <c r="T89" s="85"/>
      <c r="U89" s="85"/>
      <c r="V89" s="85"/>
      <c r="W89" s="97" t="s">
        <v>263</v>
      </c>
      <c r="X89" s="85"/>
      <c r="Y89" s="83"/>
      <c r="Z89" s="83"/>
      <c r="AA89" s="110" t="s">
        <v>242</v>
      </c>
      <c r="AB89" s="83"/>
      <c r="AC89" s="191" t="s">
        <v>264</v>
      </c>
      <c r="AD89" s="174"/>
      <c r="AE89" s="174"/>
      <c r="AF89" s="174"/>
      <c r="AG89" s="174"/>
      <c r="AH89" s="174"/>
      <c r="AI89" s="174"/>
      <c r="AJ89" s="174"/>
      <c r="AK89" s="174"/>
      <c r="AL89" s="174"/>
      <c r="AM89" s="174"/>
      <c r="AN89" s="174"/>
      <c r="AO89" s="174"/>
      <c r="AP89" s="175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4"/>
      <c r="BC89" s="95"/>
    </row>
    <row r="90" spans="1:55" ht="32.25" customHeight="1">
      <c r="A90" s="78">
        <v>2026</v>
      </c>
      <c r="B90" s="151" t="s">
        <v>266</v>
      </c>
      <c r="C90" s="179"/>
      <c r="D90" s="99"/>
      <c r="E90" s="99"/>
      <c r="F90" s="99"/>
      <c r="G90" s="99"/>
      <c r="H90" s="143"/>
      <c r="I90" s="149"/>
      <c r="J90" s="99"/>
      <c r="K90" s="152"/>
      <c r="L90" s="133"/>
      <c r="M90" s="133"/>
      <c r="N90" s="99"/>
      <c r="O90" s="99"/>
      <c r="P90" s="99"/>
      <c r="Q90" s="99"/>
      <c r="R90" s="99"/>
      <c r="S90" s="99"/>
      <c r="T90" s="99"/>
      <c r="U90" s="99"/>
      <c r="V90" s="99"/>
      <c r="W90" s="152"/>
      <c r="X90" s="99"/>
      <c r="Y90" s="99"/>
      <c r="Z90" s="99"/>
      <c r="AA90" s="99"/>
      <c r="AB90" s="99"/>
      <c r="AC90" s="191" t="s">
        <v>264</v>
      </c>
      <c r="AD90" s="174"/>
      <c r="AE90" s="174"/>
      <c r="AF90" s="174"/>
      <c r="AG90" s="174"/>
      <c r="AH90" s="174"/>
      <c r="AI90" s="174"/>
      <c r="AJ90" s="174"/>
      <c r="AK90" s="174"/>
      <c r="AL90" s="174"/>
      <c r="AM90" s="174"/>
      <c r="AN90" s="174"/>
      <c r="AO90" s="174"/>
      <c r="AP90" s="175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4"/>
      <c r="BC90" s="95"/>
    </row>
    <row r="91" spans="1:55" ht="32.25" customHeight="1">
      <c r="A91" s="78">
        <v>2026</v>
      </c>
      <c r="B91" s="151" t="s">
        <v>267</v>
      </c>
      <c r="C91" s="179"/>
      <c r="D91" s="99"/>
      <c r="E91" s="99"/>
      <c r="F91" s="99"/>
      <c r="G91" s="99"/>
      <c r="H91" s="143"/>
      <c r="I91" s="149"/>
      <c r="J91" s="99"/>
      <c r="K91" s="152"/>
      <c r="L91" s="133"/>
      <c r="M91" s="133"/>
      <c r="N91" s="99"/>
      <c r="O91" s="99"/>
      <c r="P91" s="99"/>
      <c r="Q91" s="99"/>
      <c r="R91" s="99"/>
      <c r="S91" s="99"/>
      <c r="T91" s="99"/>
      <c r="U91" s="99"/>
      <c r="V91" s="99"/>
      <c r="W91" s="152"/>
      <c r="X91" s="99"/>
      <c r="Y91" s="99"/>
      <c r="Z91" s="99"/>
      <c r="AA91" s="99"/>
      <c r="AB91" s="99"/>
      <c r="AC91" s="133"/>
      <c r="AD91" s="133"/>
      <c r="AE91" s="133"/>
      <c r="AF91" s="133"/>
      <c r="AG91" s="133"/>
      <c r="AH91" s="84"/>
      <c r="AI91" s="153" t="s">
        <v>268</v>
      </c>
      <c r="AJ91" s="153" t="s">
        <v>269</v>
      </c>
      <c r="AK91" s="84"/>
      <c r="AL91" s="84"/>
      <c r="AM91" s="153" t="s">
        <v>269</v>
      </c>
      <c r="AN91" s="84"/>
      <c r="AO91" s="84"/>
      <c r="AP91" s="153" t="s">
        <v>269</v>
      </c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4"/>
      <c r="BC91" s="95"/>
    </row>
    <row r="92" spans="1:55" ht="32.25" customHeight="1">
      <c r="A92" s="78">
        <v>2026</v>
      </c>
      <c r="B92" s="151" t="s">
        <v>270</v>
      </c>
      <c r="C92" s="179"/>
      <c r="D92" s="99"/>
      <c r="E92" s="99"/>
      <c r="F92" s="99"/>
      <c r="G92" s="99"/>
      <c r="H92" s="143"/>
      <c r="I92" s="149"/>
      <c r="J92" s="99" t="s">
        <v>255</v>
      </c>
      <c r="K92" s="97" t="s">
        <v>271</v>
      </c>
      <c r="L92" s="154" t="s">
        <v>271</v>
      </c>
      <c r="M92" s="110" t="s">
        <v>271</v>
      </c>
      <c r="N92" s="83"/>
      <c r="O92" s="83"/>
      <c r="P92" s="85"/>
      <c r="Q92" s="111" t="s">
        <v>272</v>
      </c>
      <c r="R92" s="83"/>
      <c r="S92" s="83"/>
      <c r="T92" s="85"/>
      <c r="U92" s="85"/>
      <c r="V92" s="85"/>
      <c r="W92" s="97" t="s">
        <v>263</v>
      </c>
      <c r="X92" s="85"/>
      <c r="Y92" s="83"/>
      <c r="Z92" s="83"/>
      <c r="AA92" s="110" t="s">
        <v>242</v>
      </c>
      <c r="AB92" s="83"/>
      <c r="AC92" s="85"/>
      <c r="AD92" s="85"/>
      <c r="AE92" s="85"/>
      <c r="AF92" s="85"/>
      <c r="AG92" s="85"/>
      <c r="AH92" s="85"/>
      <c r="AI92" s="153" t="s">
        <v>273</v>
      </c>
      <c r="AJ92" s="153" t="s">
        <v>273</v>
      </c>
      <c r="AK92" s="85"/>
      <c r="AL92" s="85"/>
      <c r="AM92" s="153" t="s">
        <v>273</v>
      </c>
      <c r="AN92" s="85"/>
      <c r="AO92" s="85"/>
      <c r="AP92" s="153" t="s">
        <v>273</v>
      </c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4"/>
      <c r="BC92" s="95"/>
    </row>
    <row r="93" spans="1:55" ht="32.25" customHeight="1">
      <c r="A93" s="78">
        <v>2026</v>
      </c>
      <c r="B93" s="88" t="s">
        <v>274</v>
      </c>
      <c r="C93" s="179"/>
      <c r="D93" s="155"/>
      <c r="E93" s="155"/>
      <c r="F93" s="155"/>
      <c r="G93" s="155"/>
      <c r="H93" s="143"/>
      <c r="I93" s="155"/>
      <c r="J93" s="99"/>
      <c r="K93" s="99"/>
      <c r="L93" s="133"/>
      <c r="M93" s="133"/>
      <c r="N93" s="99"/>
      <c r="O93" s="99"/>
      <c r="P93" s="99"/>
      <c r="Q93" s="99"/>
      <c r="R93" s="99"/>
      <c r="S93" s="99"/>
      <c r="T93" s="99"/>
      <c r="U93" s="99"/>
      <c r="V93" s="99"/>
      <c r="W93" s="152"/>
      <c r="X93" s="99"/>
      <c r="Y93" s="99"/>
      <c r="Z93" s="99"/>
      <c r="AA93" s="99"/>
      <c r="AB93" s="99"/>
      <c r="AC93" s="192" t="s">
        <v>275</v>
      </c>
      <c r="AD93" s="174"/>
      <c r="AE93" s="174"/>
      <c r="AF93" s="174"/>
      <c r="AG93" s="174"/>
      <c r="AH93" s="174"/>
      <c r="AI93" s="174"/>
      <c r="AJ93" s="174"/>
      <c r="AK93" s="174"/>
      <c r="AL93" s="174"/>
      <c r="AM93" s="174"/>
      <c r="AN93" s="174"/>
      <c r="AO93" s="174"/>
      <c r="AP93" s="175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94"/>
      <c r="BC93" s="95"/>
    </row>
    <row r="94" spans="1:55" ht="32.25" customHeight="1">
      <c r="A94" s="78">
        <v>2026</v>
      </c>
      <c r="B94" s="88" t="s">
        <v>276</v>
      </c>
      <c r="C94" s="179"/>
      <c r="D94" s="194" t="s">
        <v>277</v>
      </c>
      <c r="E94" s="174"/>
      <c r="F94" s="174"/>
      <c r="G94" s="174"/>
      <c r="H94" s="174"/>
      <c r="I94" s="174"/>
      <c r="J94" s="85" t="s">
        <v>260</v>
      </c>
      <c r="K94" s="85" t="s">
        <v>260</v>
      </c>
      <c r="L94" s="191" t="s">
        <v>278</v>
      </c>
      <c r="M94" s="175"/>
      <c r="N94" s="83"/>
      <c r="O94" s="83"/>
      <c r="P94" s="83"/>
      <c r="Q94" s="111" t="s">
        <v>279</v>
      </c>
      <c r="R94" s="83"/>
      <c r="S94" s="83"/>
      <c r="T94" s="85"/>
      <c r="U94" s="85"/>
      <c r="V94" s="85"/>
      <c r="W94" s="97" t="s">
        <v>263</v>
      </c>
      <c r="X94" s="85"/>
      <c r="Y94" s="83"/>
      <c r="Z94" s="83"/>
      <c r="AA94" s="110" t="s">
        <v>242</v>
      </c>
      <c r="AB94" s="83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94"/>
      <c r="BC94" s="95"/>
    </row>
    <row r="95" spans="1:55" ht="32.25" customHeight="1">
      <c r="A95" s="78">
        <v>2026</v>
      </c>
      <c r="B95" s="117" t="s">
        <v>218</v>
      </c>
      <c r="C95" s="199"/>
      <c r="D95" s="118"/>
      <c r="E95" s="118"/>
      <c r="F95" s="118"/>
      <c r="G95" s="118"/>
      <c r="H95" s="118"/>
      <c r="I95" s="118"/>
      <c r="J95" s="120" t="s">
        <v>245</v>
      </c>
      <c r="K95" s="118"/>
      <c r="L95" s="118"/>
      <c r="M95" s="118"/>
      <c r="N95" s="118"/>
      <c r="O95" s="118"/>
      <c r="P95" s="156" t="s">
        <v>280</v>
      </c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57" t="s">
        <v>281</v>
      </c>
      <c r="AC95" s="118"/>
      <c r="AD95" s="118"/>
      <c r="AE95" s="118"/>
      <c r="AF95" s="118"/>
      <c r="AG95" s="118"/>
      <c r="AH95" s="120" t="s">
        <v>245</v>
      </c>
      <c r="AI95" s="118"/>
      <c r="AJ95" s="118"/>
      <c r="AK95" s="118"/>
      <c r="AL95" s="157" t="s">
        <v>282</v>
      </c>
      <c r="AM95" s="118"/>
      <c r="AN95" s="118"/>
      <c r="AO95" s="118"/>
      <c r="AP95" s="118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2"/>
      <c r="BC95" s="122"/>
    </row>
    <row r="96" spans="1:55" ht="32.25" customHeight="1">
      <c r="A96" s="78">
        <v>2026</v>
      </c>
      <c r="B96" s="88" t="s">
        <v>195</v>
      </c>
      <c r="C96" s="201" t="s">
        <v>283</v>
      </c>
      <c r="D96" s="196" t="s">
        <v>284</v>
      </c>
      <c r="E96" s="189"/>
      <c r="F96" s="189"/>
      <c r="G96" s="189"/>
      <c r="H96" s="189"/>
      <c r="I96" s="189"/>
      <c r="J96" s="189"/>
      <c r="K96" s="189"/>
      <c r="L96" s="189"/>
      <c r="M96" s="190"/>
      <c r="N96" s="90"/>
      <c r="O96" s="90"/>
      <c r="P96" s="90"/>
      <c r="Q96" s="90"/>
      <c r="R96" s="195" t="s">
        <v>248</v>
      </c>
      <c r="S96" s="189"/>
      <c r="T96" s="189"/>
      <c r="U96" s="189"/>
      <c r="V96" s="190"/>
      <c r="W96" s="128"/>
      <c r="X96" s="128"/>
      <c r="Y96" s="90"/>
      <c r="Z96" s="90"/>
      <c r="AA96" s="127"/>
      <c r="AB96" s="90"/>
      <c r="AC96" s="188" t="s">
        <v>285</v>
      </c>
      <c r="AD96" s="189"/>
      <c r="AE96" s="189"/>
      <c r="AF96" s="189"/>
      <c r="AG96" s="189"/>
      <c r="AH96" s="189"/>
      <c r="AI96" s="190"/>
      <c r="AJ96" s="127"/>
      <c r="AK96" s="90"/>
      <c r="AL96" s="90"/>
      <c r="AM96" s="90"/>
      <c r="AN96" s="90"/>
      <c r="AO96" s="90"/>
      <c r="AP96" s="90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  <c r="BA96" s="129"/>
      <c r="BB96" s="95"/>
      <c r="BC96" s="95"/>
    </row>
    <row r="97" spans="1:55" ht="32.25" customHeight="1">
      <c r="A97" s="78"/>
      <c r="B97" s="88"/>
      <c r="C97" s="179"/>
      <c r="D97" s="90"/>
      <c r="E97" s="127"/>
      <c r="F97" s="90"/>
      <c r="G97" s="90"/>
      <c r="H97" s="90"/>
      <c r="I97" s="90"/>
      <c r="J97" s="90"/>
      <c r="K97" s="90"/>
      <c r="L97" s="127"/>
      <c r="M97" s="90"/>
      <c r="N97" s="90"/>
      <c r="O97" s="90"/>
      <c r="P97" s="127"/>
      <c r="Q97" s="90"/>
      <c r="R97" s="90"/>
      <c r="S97" s="90"/>
      <c r="T97" s="90"/>
      <c r="U97" s="90"/>
      <c r="V97" s="127"/>
      <c r="W97" s="126"/>
      <c r="X97" s="126"/>
      <c r="Y97" s="90"/>
      <c r="Z97" s="193" t="s">
        <v>286</v>
      </c>
      <c r="AA97" s="189"/>
      <c r="AB97" s="189"/>
      <c r="AC97" s="190"/>
      <c r="AD97" s="90"/>
      <c r="AE97" s="90"/>
      <c r="AF97" s="90"/>
      <c r="AG97" s="127"/>
      <c r="AH97" s="90"/>
      <c r="AI97" s="90"/>
      <c r="AJ97" s="90"/>
      <c r="AK97" s="85"/>
      <c r="AL97" s="90"/>
      <c r="AM97" s="127"/>
      <c r="AN97" s="90"/>
      <c r="AO97" s="90"/>
      <c r="AP97" s="90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95"/>
      <c r="BC97" s="95"/>
    </row>
    <row r="98" spans="1:55" ht="32.25" customHeight="1">
      <c r="A98" s="78">
        <v>2026</v>
      </c>
      <c r="B98" s="88" t="s">
        <v>199</v>
      </c>
      <c r="C98" s="179"/>
      <c r="D98" s="83"/>
      <c r="E98" s="85"/>
      <c r="F98" s="83"/>
      <c r="G98" s="83"/>
      <c r="H98" s="83"/>
      <c r="I98" s="83"/>
      <c r="J98" s="83"/>
      <c r="K98" s="83"/>
      <c r="L98" s="85"/>
      <c r="M98" s="83"/>
      <c r="N98" s="83"/>
      <c r="O98" s="91" t="s">
        <v>201</v>
      </c>
      <c r="P98" s="91" t="s">
        <v>201</v>
      </c>
      <c r="Q98" s="83"/>
      <c r="R98" s="83"/>
      <c r="S98" s="83"/>
      <c r="T98" s="83"/>
      <c r="U98" s="83"/>
      <c r="V98" s="85"/>
      <c r="W98" s="83"/>
      <c r="X98" s="83"/>
      <c r="Y98" s="83"/>
      <c r="Z98" s="83"/>
      <c r="AA98" s="83"/>
      <c r="AB98" s="92" t="s">
        <v>202</v>
      </c>
      <c r="AC98" s="83"/>
      <c r="AD98" s="83"/>
      <c r="AE98" s="83"/>
      <c r="AF98" s="85"/>
      <c r="AG98" s="85"/>
      <c r="AH98" s="83"/>
      <c r="AI98" s="83"/>
      <c r="AJ98" s="83"/>
      <c r="AK98" s="92" t="s">
        <v>203</v>
      </c>
      <c r="AL98" s="83"/>
      <c r="AM98" s="85" t="s">
        <v>225</v>
      </c>
      <c r="AN98" s="83"/>
      <c r="AO98" s="83"/>
      <c r="AP98" s="8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94"/>
      <c r="BC98" s="95"/>
    </row>
    <row r="99" spans="1:55" ht="32.25" customHeight="1">
      <c r="A99" s="78">
        <v>2026</v>
      </c>
      <c r="B99" s="88" t="s">
        <v>287</v>
      </c>
      <c r="C99" s="179"/>
      <c r="D99" s="83"/>
      <c r="E99" s="85"/>
      <c r="F99" s="83"/>
      <c r="G99" s="83"/>
      <c r="H99" s="83"/>
      <c r="I99" s="104"/>
      <c r="J99" s="104"/>
      <c r="K99" s="83"/>
      <c r="L99" s="83"/>
      <c r="M99" s="83"/>
      <c r="N99" s="83"/>
      <c r="O99" s="83"/>
      <c r="P99" s="97" t="s">
        <v>206</v>
      </c>
      <c r="Q99" s="98" t="s">
        <v>207</v>
      </c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2"/>
      <c r="BC99" s="103"/>
    </row>
    <row r="100" spans="1:55" ht="32.25" customHeight="1">
      <c r="A100" s="78">
        <v>2026</v>
      </c>
      <c r="B100" s="88" t="s">
        <v>288</v>
      </c>
      <c r="C100" s="179"/>
      <c r="D100" s="99"/>
      <c r="E100" s="99"/>
      <c r="F100" s="99"/>
      <c r="G100" s="99"/>
      <c r="H100" s="99"/>
      <c r="I100" s="158"/>
      <c r="J100" s="158"/>
      <c r="K100" s="99"/>
      <c r="L100" s="99"/>
      <c r="M100" s="99"/>
      <c r="N100" s="99"/>
      <c r="O100" s="99"/>
      <c r="P100" s="99"/>
      <c r="Q100" s="98" t="s">
        <v>207</v>
      </c>
      <c r="R100" s="99"/>
      <c r="S100" s="99"/>
      <c r="T100" s="99"/>
      <c r="U100" s="99"/>
      <c r="V100" s="99"/>
      <c r="W100" s="99"/>
      <c r="X100" s="15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2"/>
      <c r="BC100" s="103"/>
    </row>
    <row r="101" spans="1:55" ht="32.25" customHeight="1">
      <c r="A101" s="78">
        <v>2026</v>
      </c>
      <c r="B101" s="88" t="s">
        <v>289</v>
      </c>
      <c r="C101" s="179"/>
      <c r="D101" s="192" t="s">
        <v>290</v>
      </c>
      <c r="E101" s="174"/>
      <c r="F101" s="174"/>
      <c r="G101" s="174"/>
      <c r="H101" s="174"/>
      <c r="I101" s="174"/>
      <c r="J101" s="85" t="s">
        <v>260</v>
      </c>
      <c r="K101" s="85" t="s">
        <v>260</v>
      </c>
      <c r="L101" s="200" t="s">
        <v>278</v>
      </c>
      <c r="M101" s="175"/>
      <c r="N101" s="83"/>
      <c r="O101" s="83"/>
      <c r="P101" s="83"/>
      <c r="Q101" s="83"/>
      <c r="R101" s="83"/>
      <c r="S101" s="111" t="s">
        <v>279</v>
      </c>
      <c r="T101" s="84"/>
      <c r="U101" s="85"/>
      <c r="V101" s="85"/>
      <c r="W101" s="111" t="s">
        <v>212</v>
      </c>
      <c r="X101" s="85"/>
      <c r="Y101" s="83"/>
      <c r="Z101" s="83"/>
      <c r="AA101" s="110" t="s">
        <v>242</v>
      </c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4"/>
      <c r="BC101" s="95"/>
    </row>
    <row r="102" spans="1:55" ht="32.25" customHeight="1">
      <c r="A102" s="78">
        <v>2026</v>
      </c>
      <c r="B102" s="88" t="s">
        <v>291</v>
      </c>
      <c r="C102" s="179"/>
      <c r="D102" s="99"/>
      <c r="E102" s="99"/>
      <c r="F102" s="99"/>
      <c r="G102" s="99"/>
      <c r="H102" s="143"/>
      <c r="I102" s="149"/>
      <c r="J102" s="149"/>
      <c r="K102" s="99"/>
      <c r="L102" s="133"/>
      <c r="M102" s="99"/>
      <c r="N102" s="99"/>
      <c r="O102" s="99"/>
      <c r="P102" s="99"/>
      <c r="Q102" s="98"/>
      <c r="R102" s="99"/>
      <c r="S102" s="99"/>
      <c r="T102" s="133"/>
      <c r="U102" s="99"/>
      <c r="V102" s="160" t="s">
        <v>292</v>
      </c>
      <c r="W102" s="160" t="s">
        <v>292</v>
      </c>
      <c r="X102" s="115" t="s">
        <v>293</v>
      </c>
      <c r="Y102" s="115" t="s">
        <v>293</v>
      </c>
      <c r="Z102" s="83"/>
      <c r="AA102" s="110" t="s">
        <v>242</v>
      </c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94"/>
      <c r="BC102" s="95"/>
    </row>
    <row r="103" spans="1:55" ht="32.25" customHeight="1">
      <c r="A103" s="78">
        <v>2026</v>
      </c>
      <c r="B103" s="117" t="s">
        <v>218</v>
      </c>
      <c r="C103" s="199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20" t="s">
        <v>245</v>
      </c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39"/>
      <c r="AM103" s="118"/>
      <c r="AN103" s="118"/>
      <c r="AO103" s="118"/>
      <c r="AP103" s="118"/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2"/>
      <c r="BC103" s="122"/>
    </row>
    <row r="104" spans="1:55" ht="32.25" customHeight="1">
      <c r="A104" s="78">
        <v>2026</v>
      </c>
      <c r="B104" s="88" t="s">
        <v>195</v>
      </c>
      <c r="C104" s="202" t="s">
        <v>294</v>
      </c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128"/>
      <c r="U104" s="128"/>
      <c r="V104" s="128"/>
      <c r="W104" s="161"/>
      <c r="X104" s="161"/>
      <c r="Y104" s="16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2"/>
      <c r="BA104" s="162"/>
      <c r="BB104" s="103"/>
      <c r="BC104" s="103"/>
    </row>
    <row r="105" spans="1:55" ht="32.25" customHeight="1">
      <c r="A105" s="78">
        <v>2026</v>
      </c>
      <c r="B105" s="88" t="s">
        <v>199</v>
      </c>
      <c r="C105" s="179"/>
      <c r="D105" s="83"/>
      <c r="E105" s="85"/>
      <c r="F105" s="83"/>
      <c r="G105" s="83"/>
      <c r="H105" s="83"/>
      <c r="I105" s="83"/>
      <c r="J105" s="83"/>
      <c r="K105" s="83"/>
      <c r="L105" s="85"/>
      <c r="M105" s="83"/>
      <c r="N105" s="83"/>
      <c r="O105" s="192" t="s">
        <v>201</v>
      </c>
      <c r="P105" s="175"/>
      <c r="Q105" s="83"/>
      <c r="R105" s="83"/>
      <c r="S105" s="85"/>
      <c r="T105" s="83"/>
      <c r="U105" s="83"/>
      <c r="V105" s="85"/>
      <c r="W105" s="99"/>
      <c r="X105" s="99"/>
      <c r="Y105" s="99"/>
      <c r="Z105" s="99"/>
      <c r="AA105" s="99"/>
      <c r="AB105" s="163" t="s">
        <v>202</v>
      </c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2"/>
      <c r="BC105" s="103"/>
    </row>
    <row r="106" spans="1:55" ht="32.25" customHeight="1">
      <c r="A106" s="78">
        <v>2026</v>
      </c>
      <c r="B106" s="88" t="s">
        <v>295</v>
      </c>
      <c r="C106" s="179"/>
      <c r="D106" s="83"/>
      <c r="E106" s="83"/>
      <c r="F106" s="83"/>
      <c r="G106" s="83"/>
      <c r="H106" s="83"/>
      <c r="I106" s="83"/>
      <c r="J106" s="104"/>
      <c r="K106" s="104"/>
      <c r="L106" s="104"/>
      <c r="M106" s="83"/>
      <c r="N106" s="83"/>
      <c r="O106" s="83"/>
      <c r="P106" s="97" t="s">
        <v>206</v>
      </c>
      <c r="Q106" s="98" t="s">
        <v>207</v>
      </c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2"/>
      <c r="BC106" s="103"/>
    </row>
    <row r="107" spans="1:55" ht="32.25" customHeight="1">
      <c r="A107" s="78">
        <v>2026</v>
      </c>
      <c r="B107" s="88" t="s">
        <v>296</v>
      </c>
      <c r="C107" s="179"/>
      <c r="D107" s="113" t="s">
        <v>297</v>
      </c>
      <c r="E107" s="114" t="s">
        <v>297</v>
      </c>
      <c r="F107" s="83"/>
      <c r="G107" s="83"/>
      <c r="H107" s="83"/>
      <c r="I107" s="124"/>
      <c r="J107" s="108"/>
      <c r="K107" s="110" t="s">
        <v>279</v>
      </c>
      <c r="L107" s="110" t="s">
        <v>279</v>
      </c>
      <c r="M107" s="197" t="s">
        <v>298</v>
      </c>
      <c r="N107" s="190"/>
      <c r="O107" s="83"/>
      <c r="P107" s="83"/>
      <c r="Q107" s="188" t="s">
        <v>279</v>
      </c>
      <c r="R107" s="190"/>
      <c r="S107" s="111" t="s">
        <v>279</v>
      </c>
      <c r="T107" s="200" t="s">
        <v>279</v>
      </c>
      <c r="U107" s="175"/>
      <c r="V107" s="99" t="s">
        <v>299</v>
      </c>
      <c r="W107" s="99" t="s">
        <v>212</v>
      </c>
      <c r="X107" s="99"/>
      <c r="Y107" s="99"/>
      <c r="Z107" s="99"/>
      <c r="AA107" s="99" t="s">
        <v>242</v>
      </c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2"/>
      <c r="BC107" s="103"/>
    </row>
    <row r="108" spans="1:55" ht="32.25" customHeight="1">
      <c r="A108" s="78">
        <v>2026</v>
      </c>
      <c r="B108" s="117" t="s">
        <v>218</v>
      </c>
      <c r="C108" s="199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64" t="s">
        <v>300</v>
      </c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6"/>
      <c r="AR108" s="166"/>
      <c r="AS108" s="166"/>
      <c r="AT108" s="166"/>
      <c r="AU108" s="166"/>
      <c r="AV108" s="166"/>
      <c r="AW108" s="166"/>
      <c r="AX108" s="166"/>
      <c r="AY108" s="166"/>
      <c r="AZ108" s="166"/>
      <c r="BA108" s="166"/>
      <c r="BB108" s="167"/>
      <c r="BC108" s="167"/>
    </row>
    <row r="109" spans="1:55" ht="32.25" customHeight="1">
      <c r="A109" s="78">
        <v>2026</v>
      </c>
      <c r="B109" s="88" t="s">
        <v>195</v>
      </c>
      <c r="C109" s="198" t="s">
        <v>301</v>
      </c>
      <c r="D109" s="131"/>
      <c r="E109" s="131"/>
      <c r="F109" s="131"/>
      <c r="G109" s="131"/>
      <c r="H109" s="143"/>
      <c r="I109" s="168"/>
      <c r="J109" s="169"/>
      <c r="K109" s="169"/>
      <c r="L109" s="169"/>
      <c r="M109" s="131"/>
      <c r="N109" s="131"/>
      <c r="O109" s="131"/>
      <c r="P109" s="131"/>
      <c r="Q109" s="131"/>
      <c r="R109" s="161"/>
      <c r="S109" s="131"/>
      <c r="T109" s="131"/>
      <c r="U109" s="161"/>
      <c r="V109" s="161"/>
      <c r="W109" s="161"/>
      <c r="X109" s="16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90"/>
      <c r="AQ109" s="129"/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95"/>
      <c r="BC109" s="95"/>
    </row>
    <row r="110" spans="1:55" ht="32.25" customHeight="1">
      <c r="A110" s="78">
        <v>2026</v>
      </c>
      <c r="B110" s="88" t="s">
        <v>199</v>
      </c>
      <c r="C110" s="179"/>
      <c r="D110" s="99"/>
      <c r="E110" s="99"/>
      <c r="F110" s="99"/>
      <c r="G110" s="99"/>
      <c r="H110" s="99"/>
      <c r="I110" s="131"/>
      <c r="J110" s="131"/>
      <c r="K110" s="131"/>
      <c r="L110" s="131"/>
      <c r="M110" s="99"/>
      <c r="N110" s="99"/>
      <c r="O110" s="99"/>
      <c r="P110" s="99"/>
      <c r="Q110" s="99"/>
      <c r="R110" s="105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8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4"/>
      <c r="BC110" s="95"/>
    </row>
    <row r="111" spans="1:55" ht="32.25" customHeight="1">
      <c r="A111" s="78">
        <v>2026</v>
      </c>
      <c r="B111" s="88" t="s">
        <v>237</v>
      </c>
      <c r="C111" s="17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8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4"/>
      <c r="BC111" s="95"/>
    </row>
    <row r="112" spans="1:55" ht="32.25" customHeight="1">
      <c r="A112" s="78">
        <v>2026</v>
      </c>
      <c r="B112" s="88" t="s">
        <v>239</v>
      </c>
      <c r="C112" s="17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133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8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94"/>
      <c r="BC112" s="95"/>
    </row>
    <row r="113" spans="1:55" ht="32.25" customHeight="1">
      <c r="A113" s="78">
        <v>2026</v>
      </c>
      <c r="B113" s="88" t="s">
        <v>218</v>
      </c>
      <c r="C113" s="180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 t="s">
        <v>245</v>
      </c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70" t="s">
        <v>220</v>
      </c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95"/>
      <c r="BC113" s="95"/>
    </row>
    <row r="114" spans="1:55" ht="12.75" customHeight="1">
      <c r="B114" s="171"/>
      <c r="C114" s="171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</row>
    <row r="115" spans="1:5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spans="1:55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1:55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spans="1:55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1:55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spans="1:55" ht="12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ht="12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spans="1:55" ht="12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1:55" ht="12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spans="1:55" ht="12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ht="12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1:55" ht="12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ht="12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spans="2:55" ht="12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2:55" ht="12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spans="2:55" ht="12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2:55" ht="12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spans="2:55" ht="12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2:55" ht="12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spans="2:55" ht="12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spans="2:55" ht="12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spans="2:55" ht="12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2:55" ht="12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2:55" ht="12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2:55" ht="12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spans="2:55" ht="12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spans="2:55" ht="12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spans="2:55" ht="12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spans="2:55" ht="12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spans="2:55" ht="12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2:55" ht="12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spans="2:55" ht="12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spans="2:55" ht="12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spans="2:55" ht="12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2:55" ht="12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2:55" ht="12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2:55" ht="12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spans="2:55" ht="12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spans="2:55" ht="12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spans="2:55" ht="12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spans="2:55" ht="12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spans="2:55" ht="12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spans="2:55" ht="12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spans="2:55" ht="12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spans="2:55" ht="12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spans="2:55" ht="12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spans="2:55" ht="12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spans="2:55" ht="12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spans="2:55" ht="12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spans="2:55" ht="12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spans="2:55" ht="12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spans="2:55" ht="12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spans="2:55" ht="12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spans="2:55" ht="12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spans="2:55" ht="12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spans="2:55" ht="12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spans="2:55" ht="12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spans="2:55" ht="12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spans="2:55" ht="12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spans="2:55" ht="12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spans="2:55" ht="12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spans="2:55" ht="12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spans="2:55" ht="12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spans="2:55" ht="12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spans="2:55" ht="12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spans="2:55" ht="12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spans="2:55" ht="12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spans="2:55" ht="12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spans="2:55" ht="12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spans="2:55" ht="12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spans="2:55" ht="12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spans="2:55" ht="12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spans="2:55" ht="12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spans="2:55" ht="12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spans="2:55" ht="12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spans="2:55" ht="12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spans="2:55" ht="12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spans="2:55" ht="12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spans="2:55" ht="12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spans="2:55" ht="12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spans="2:55" ht="12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spans="2:55" ht="12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spans="2:55" ht="12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spans="2:55" ht="12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spans="2:55" ht="12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spans="2:55" ht="12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spans="2:55" ht="12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spans="2:55" ht="12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spans="2:55" ht="12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spans="2:55" ht="12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spans="2:55" ht="12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spans="2:55" ht="12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spans="2:55" ht="12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spans="2:55" ht="12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spans="2:55" ht="12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spans="2:55" ht="12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spans="2:55" ht="12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spans="2:55" ht="12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spans="2:55" ht="12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spans="2:55" ht="12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spans="2:55" ht="12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spans="2:55" ht="12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spans="2:55" ht="12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spans="2:55" ht="12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spans="2:55" ht="12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spans="2:55" ht="12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spans="2:55" ht="12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spans="2:55" ht="12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spans="2:55" ht="12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spans="2:55" ht="12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spans="2:55" ht="12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spans="2:55" ht="12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spans="2:55" ht="12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spans="2:55" ht="12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spans="2:55" ht="12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spans="2:55" ht="12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spans="2:55" ht="12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spans="2:55" ht="12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spans="2:55" ht="12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spans="2:55" ht="12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spans="2:55" ht="12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spans="2:55" ht="12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spans="2:55" ht="12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spans="2:55" ht="12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spans="2:55" ht="12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spans="2:55" ht="12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spans="2:55" ht="12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spans="2:55" ht="12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spans="2:55" ht="12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spans="2:55" ht="12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spans="2:55" ht="12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spans="2:55" ht="12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spans="2:55" ht="12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spans="2:55" ht="12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spans="2:55" ht="12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spans="2:55" ht="12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spans="2:55" ht="12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spans="2:55" ht="12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spans="2:55" ht="12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spans="2:55" ht="12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spans="2:55" ht="12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spans="2:55" ht="12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spans="2:55" ht="12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spans="2:55" ht="12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spans="2:55" ht="12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spans="2:55" ht="12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spans="2:55" ht="12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spans="2:55" ht="12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spans="2:55" ht="12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spans="2:55" ht="12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spans="2:55" ht="12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spans="2:55" ht="12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spans="2:55" ht="12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spans="2:55" ht="12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spans="2:55" ht="12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spans="2:55" ht="12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spans="2:55" ht="12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spans="2:55" ht="12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spans="2:55" ht="12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spans="2:55" ht="12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spans="2:55" ht="12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spans="2:55" ht="12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spans="2:55" ht="12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spans="2:55" ht="12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spans="2:55" ht="12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spans="2:55" ht="12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spans="2:55" ht="12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spans="2:55" ht="12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spans="2:55" ht="12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spans="2:55" ht="12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spans="2:55" ht="12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spans="2:55" ht="12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spans="2:55" ht="12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spans="2:55" ht="12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spans="2:55" ht="12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spans="2:55" ht="12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spans="2:55" ht="12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spans="2:55" ht="12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spans="2:55" ht="12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spans="2:55" ht="12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spans="2:55" ht="12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spans="2:55" ht="12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spans="2:55" ht="12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spans="2:55" ht="12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spans="2:55" ht="12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spans="2:55" ht="12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spans="2:55" ht="12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spans="2:55" ht="12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spans="2:55" ht="12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spans="2:55" ht="12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spans="2:55" ht="12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spans="2:55" ht="12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spans="2:55" ht="12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spans="2:55" ht="12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spans="2:55" ht="12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spans="2:55" ht="12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spans="2:55" ht="12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spans="2:55" ht="12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spans="2:55" ht="12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spans="2:55" ht="12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spans="2:55" ht="12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spans="2:55" ht="12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spans="2:55" ht="12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spans="2:55" ht="12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spans="2:55" ht="12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spans="2:55" ht="12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spans="2:55" ht="12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spans="2:55" ht="12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spans="2:55" ht="12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spans="2:55" ht="12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spans="2:55" ht="12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spans="2:55" ht="12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spans="2:55" ht="12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spans="2:55" ht="12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spans="2:55" ht="12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spans="2:55" ht="12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spans="2:55" ht="12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spans="2:55" ht="12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spans="2:55" ht="12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spans="2:55" ht="12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spans="2:55" ht="12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spans="2:55" ht="12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spans="2:55" ht="12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spans="2:55" ht="12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spans="2:55" ht="12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spans="2:55" ht="12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spans="2:55" ht="12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spans="2:55" ht="12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spans="2:55" ht="12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spans="2:55" ht="12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spans="2:55" ht="12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spans="2:55" ht="12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spans="2:55" ht="12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spans="2:55" ht="12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spans="2:55" ht="12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spans="2:55" ht="12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spans="2:55" ht="12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spans="2:55" ht="12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spans="2:55" ht="12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spans="2:55" ht="12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spans="2:55" ht="12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spans="2:55" ht="12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spans="2:55" ht="12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spans="2:55" ht="12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spans="2:55" ht="12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spans="2:55" ht="12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spans="2:55" ht="12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spans="2:55" ht="12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spans="2:55" ht="12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spans="2:55" ht="12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spans="2:55" ht="12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spans="2:55" ht="12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spans="2:55" ht="12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spans="2:55" ht="12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spans="2:55" ht="12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spans="2:55" ht="12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spans="2:55" ht="12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spans="2:55" ht="12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spans="2:55" ht="12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spans="2:55" ht="12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spans="2:55" ht="12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spans="2:55" ht="12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spans="2:55" ht="12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spans="2:55" ht="12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spans="2:55" ht="12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spans="2:55" ht="12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spans="2:55" ht="12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spans="2:55" ht="12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spans="2:55" ht="12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spans="2:55" ht="12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spans="2:55" ht="12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spans="2:55" ht="12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spans="2:55" ht="12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spans="2:55" ht="12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spans="2:55" ht="12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spans="2:55" ht="12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spans="2:55" ht="12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spans="2:55" ht="12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spans="2:55" ht="12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spans="2:55" ht="12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spans="2:55" ht="12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spans="2:55" ht="12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spans="2:55" ht="12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spans="2:55" ht="12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spans="2:55" ht="12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spans="2:55" ht="12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spans="2:55" ht="12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spans="2:55" ht="12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spans="2:55" ht="12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spans="2:55" ht="12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spans="2:55" ht="12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spans="2:55" ht="12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spans="2:55" ht="12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spans="2:55" ht="12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spans="2:55" ht="12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spans="2:55" ht="12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spans="2:55" ht="12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spans="2:55" ht="12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spans="2:55" ht="12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spans="2:55" ht="12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spans="2:55" ht="12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spans="2:55" ht="12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spans="2:55" ht="12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spans="2:55" ht="12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spans="2:55" ht="12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spans="2:55" ht="12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spans="2:55" ht="12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spans="2:55" ht="12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spans="2:55" ht="12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spans="2:55" ht="12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spans="2:55" ht="12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spans="2:55" ht="12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spans="2:55" ht="12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spans="2:55" ht="12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spans="2:55" ht="12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spans="2:55" ht="12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spans="2:55" ht="12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spans="2:55" ht="12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spans="2:55" ht="12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spans="2:55" ht="12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spans="2:55" ht="12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spans="2:55" ht="12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spans="2:55" ht="12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spans="2:55" ht="12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spans="2:55" ht="12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spans="2:55" ht="12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spans="2:55" ht="12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spans="2:55" ht="12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spans="2:55" ht="12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spans="2:55" ht="12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spans="2:55" ht="12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spans="2:55" ht="12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spans="2:55" ht="12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spans="2:55" ht="12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spans="2:55" ht="12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spans="2:55" ht="12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spans="2:55" ht="12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spans="2:55" ht="12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spans="2:55" ht="12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spans="2:55" ht="12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spans="2:55" ht="12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spans="2:55" ht="12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spans="2:55" ht="12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spans="2:55" ht="12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spans="2:55" ht="12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spans="2:55" ht="12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spans="2:55" ht="12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spans="2:55" ht="12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spans="2:55" ht="12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spans="2:55" ht="12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spans="2:55" ht="12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spans="2:55" ht="12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spans="2:55" ht="12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spans="2:55" ht="12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spans="2:55" ht="12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spans="2:55" ht="12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spans="2:55" ht="12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spans="2:55" ht="12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spans="2:55" ht="12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spans="2:55" ht="12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spans="2:55" ht="12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spans="2:55" ht="12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spans="2:55" ht="12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spans="2:55" ht="12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spans="2:55" ht="12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spans="2:55" ht="12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spans="2:55" ht="12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spans="2:55" ht="12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spans="2:55" ht="12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spans="2:55" ht="12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spans="2:55" ht="12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spans="2:55" ht="12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spans="2:55" ht="12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spans="2:55" ht="12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spans="2:55" ht="12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spans="2:55" ht="12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spans="2:55" ht="12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spans="2:55" ht="12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spans="2:55" ht="12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spans="2:55" ht="12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spans="2:55" ht="12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spans="2:55" ht="12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spans="2:55" ht="12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spans="2:55" ht="12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spans="2:55" ht="12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spans="2:55" ht="12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spans="2:55" ht="12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spans="2:55" ht="12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spans="2:55" ht="12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spans="2:55" ht="12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spans="2:55" ht="12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spans="2:55" ht="12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spans="2:55" ht="12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spans="2:55" ht="12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spans="2:55" ht="12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spans="2:55" ht="12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spans="2:55" ht="12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spans="2:55" ht="12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spans="2:55" ht="12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spans="2:55" ht="12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spans="2:55" ht="12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spans="2:55" ht="12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spans="2:55" ht="12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spans="2:55" ht="12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spans="2:55" ht="12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spans="2:55" ht="12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spans="2:55" ht="12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spans="2:55" ht="12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spans="2:55" ht="12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spans="2:55" ht="12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spans="2:55" ht="12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spans="2:55" ht="12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spans="2:55" ht="12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spans="2:55" ht="12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spans="2:55" ht="12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spans="2:55" ht="12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spans="2:55" ht="12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spans="2:55" ht="12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spans="2:55" ht="12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spans="2:55" ht="12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spans="2:55" ht="12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spans="2:55" ht="12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spans="2:55" ht="12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spans="2:55" ht="12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spans="2:55" ht="12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spans="2:55" ht="12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spans="2:55" ht="12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spans="2:55" ht="12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spans="2:55" ht="12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spans="2:55" ht="12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spans="2:55" ht="12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spans="2:55" ht="12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spans="2:55" ht="12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spans="2:55" ht="12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spans="2:55" ht="12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spans="2:55" ht="12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spans="2:55" ht="12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spans="2:55" ht="12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spans="2:55" ht="12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spans="2:55" ht="12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spans="2:55" ht="12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spans="2:55" ht="12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spans="2:55" ht="12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spans="2:55" ht="12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spans="2:55" ht="12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spans="2:55" ht="12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spans="2:55" ht="12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spans="2:55" ht="12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spans="2:55" ht="12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spans="2:55" ht="12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spans="2:55" ht="12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spans="2:55" ht="12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spans="2:55" ht="12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spans="2:55" ht="12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spans="2:55" ht="12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spans="2:55" ht="12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spans="2:55" ht="12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spans="2:55" ht="12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spans="2:55" ht="12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spans="2:55" ht="12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spans="2:55" ht="12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spans="2:55" ht="12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spans="2:55" ht="12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spans="2:55" ht="12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spans="2:55" ht="12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spans="2:55" ht="12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spans="2:55" ht="12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spans="2:55" ht="12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spans="2:55" ht="12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spans="2:55" ht="12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spans="2:55" ht="12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spans="2:55" ht="12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spans="2:55" ht="12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spans="2:55" ht="12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spans="2:55" ht="12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spans="2:55" ht="12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spans="2:55" ht="12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spans="2:55" ht="12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spans="2:55" ht="12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spans="2:55" ht="12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spans="2:55" ht="12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spans="2:55" ht="12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spans="2:55" ht="12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spans="2:55" ht="12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spans="2:55" ht="12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spans="2:55" ht="12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spans="2:55" ht="12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spans="2:55" ht="12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spans="2:55" ht="12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spans="2:55" ht="12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spans="2:55" ht="12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spans="2:55" ht="12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spans="2:55" ht="12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spans="2:55" ht="12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spans="2:55" ht="12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spans="2:55" ht="12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spans="2:55" ht="12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spans="2:55" ht="12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spans="2:55" ht="12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spans="2:55" ht="12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spans="2:55" ht="12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spans="2:55" ht="12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spans="2:55" ht="12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spans="2:55" ht="12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spans="2:55" ht="12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spans="2:55" ht="12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spans="2:55" ht="12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spans="2:55" ht="12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spans="2:55" ht="12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spans="2:55" ht="12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spans="2:55" ht="12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spans="2:55" ht="12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spans="2:55" ht="12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spans="2:55" ht="12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spans="2:55" ht="12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spans="2:55" ht="12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spans="2:55" ht="12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spans="2:55" ht="12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spans="2:55" ht="12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spans="2:55" ht="12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spans="2:55" ht="12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spans="2:55" ht="12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spans="2:55" ht="12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spans="2:55" ht="12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spans="2:55" ht="12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spans="2:55" ht="12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spans="2:55" ht="12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spans="2:55" ht="12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spans="2:55" ht="12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spans="2:55" ht="12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spans="2:55" ht="12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spans="2:55" ht="12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spans="2:55" ht="12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spans="2:55" ht="12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spans="2:55" ht="12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spans="2:55" ht="12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spans="2:55" ht="12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spans="2:55" ht="12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spans="2:55" ht="12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spans="2:55" ht="12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spans="2:55" ht="12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spans="2:55" ht="12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spans="2:55" ht="12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spans="2:55" ht="12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spans="2:55" ht="12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spans="2:55" ht="12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spans="2:55" ht="12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spans="2:55" ht="12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spans="2:55" ht="12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spans="2:55" ht="12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spans="2:55" ht="12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spans="2:55" ht="12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spans="2:55" ht="12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spans="2:55" ht="12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spans="2:55" ht="12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spans="2:55" ht="12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spans="2:55" ht="12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spans="2:55" ht="12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spans="2:55" ht="12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spans="2:55" ht="12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spans="2:55" ht="12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spans="2:55" ht="12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spans="2:55" ht="12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spans="2:55" ht="12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spans="2:55" ht="12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spans="2:55" ht="12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spans="2:55" ht="12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spans="2:55" ht="12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spans="2:55" ht="12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spans="2:55" ht="12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spans="2:55" ht="12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spans="2:55" ht="12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spans="2:55" ht="12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spans="2:55" ht="12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spans="2:55" ht="12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spans="2:55" ht="12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spans="2:55" ht="12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spans="2:55" ht="12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spans="2:55" ht="12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spans="2:55" ht="12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spans="2:55" ht="12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spans="2:55" ht="12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spans="2:55" ht="12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spans="2:55" ht="12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spans="2:55" ht="12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spans="2:55" ht="12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spans="2:55" ht="12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spans="2:55" ht="12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spans="2:55" ht="12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spans="2:55" ht="12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spans="2:55" ht="12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spans="2:55" ht="12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spans="2:55" ht="12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spans="2:55" ht="12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spans="2:55" ht="12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spans="2:55" ht="12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spans="2:55" ht="12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spans="2:55" ht="12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spans="2:55" ht="12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spans="2:55" ht="12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spans="2:55" ht="12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spans="2:55" ht="12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spans="2:55" ht="12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spans="2:55" ht="12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spans="2:55" ht="12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spans="2:55" ht="12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spans="2:55" ht="12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spans="2:55" ht="12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spans="2:55" ht="12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spans="2:55" ht="12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spans="2:55" ht="12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spans="2:55" ht="12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spans="2:55" ht="12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spans="2:55" ht="12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spans="2:55" ht="12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spans="2:55" ht="12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spans="2:55" ht="12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spans="2:55" ht="12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spans="2:55" ht="12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spans="2:55" ht="12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spans="2:55" ht="12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spans="2:55" ht="12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spans="2:55" ht="12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spans="2:55" ht="12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spans="2:55" ht="12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spans="2:55" ht="12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spans="2:55" ht="12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spans="2:55" ht="12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spans="2:55" ht="12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spans="2:55" ht="12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spans="2:55" ht="12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spans="2:55" ht="12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spans="2:55" ht="12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spans="2:55" ht="12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spans="2:55" ht="12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spans="2:55" ht="12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spans="2:55" ht="12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spans="2:55" ht="12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spans="2:55" ht="12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spans="2:55" ht="12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spans="2:55" ht="12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spans="2:55" ht="12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spans="2:55" ht="12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spans="2:55" ht="12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spans="2:55" ht="12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spans="2:55" ht="12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spans="2:55" ht="12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spans="2:55" ht="12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spans="2:55" ht="12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spans="2:55" ht="12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spans="2:55" ht="12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spans="2:55" ht="12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spans="2:55" ht="12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spans="2:55" ht="12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spans="2:55" ht="12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spans="2:55" ht="12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spans="2:55" ht="12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spans="2:55" ht="12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spans="2:55" ht="12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spans="2:55" ht="12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spans="2:55" ht="12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spans="2:55" ht="12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spans="2:55" ht="12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spans="2:55" ht="12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spans="2:55" ht="12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spans="2:55" ht="12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spans="2:55" ht="12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spans="2:55" ht="12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spans="2:55" ht="12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spans="2:55" ht="12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spans="2:55" ht="12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spans="2:55" ht="12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spans="2:55" ht="12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spans="2:55" ht="12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spans="2:55" ht="12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spans="2:55" ht="12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spans="2:55" ht="12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spans="2:55" ht="12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spans="2:55" ht="12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spans="2:55" ht="12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spans="2:55" ht="12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spans="2:55" ht="12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spans="2:55" ht="12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spans="2:55" ht="12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spans="2:55" ht="12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spans="2:55" ht="12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spans="2:55" ht="12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spans="2:55" ht="12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spans="2:55" ht="12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spans="2:55" ht="12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spans="2:55" ht="12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spans="2:55" ht="12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spans="2:55" ht="12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spans="2:55" ht="12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spans="2:55" ht="12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spans="2:55" ht="12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spans="2:55" ht="12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spans="2:55" ht="12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spans="2:55" ht="12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spans="2:55" ht="12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spans="2:55" ht="12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spans="2:55" ht="12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spans="2:55" ht="12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spans="2:55" ht="12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spans="2:55" ht="12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spans="2:55" ht="12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spans="2:55" ht="12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spans="2:55" ht="12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spans="2:55" ht="12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spans="2:55" ht="12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spans="2:55" ht="12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spans="2:55" ht="12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spans="2:55" ht="12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spans="2:55" ht="12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spans="2:55" ht="12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spans="2:55" ht="12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spans="2:55" ht="12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spans="2:55" ht="12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spans="2:55" ht="12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spans="2:55" ht="12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spans="2:55" ht="12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spans="2:55" ht="12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spans="2:55" ht="12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spans="2:55" ht="12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spans="2:55" ht="12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spans="2:55" ht="12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spans="2:55" ht="12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spans="2:55" ht="12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spans="2:55" ht="12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spans="2:55" ht="12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spans="2:55" ht="12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spans="2:55" ht="12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spans="2:55" ht="12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spans="2:55" ht="12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spans="2:55" ht="12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spans="2:55" ht="12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spans="2:55" ht="12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spans="2:55" ht="12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spans="2:55" ht="12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spans="2:55" ht="12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spans="2:55" ht="12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spans="2:55" ht="12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spans="2:55" ht="12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spans="2:55" ht="12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spans="2:55" ht="12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spans="2:55" ht="12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spans="2:55" ht="12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spans="2:55" ht="12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spans="2:55" ht="12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spans="2:55" ht="12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spans="2:55" ht="12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spans="2:55" ht="12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spans="2:55" ht="12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spans="2:55" ht="12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spans="2:55" ht="12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spans="2:55" ht="12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spans="2:55" ht="12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spans="2:55" ht="12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spans="2:55" ht="12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spans="2:55" ht="12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spans="2:55" ht="12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spans="2:55" ht="12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spans="2:55" ht="12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spans="2:55" ht="12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spans="2:55" ht="12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spans="2:55" ht="12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spans="2:55" ht="12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spans="2:55" ht="12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spans="2:55" ht="12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spans="2:55" ht="12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spans="2:55" ht="12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spans="2:55" ht="12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spans="2:55" ht="12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spans="2:55" ht="12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spans="2:55" ht="12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spans="2:55" ht="12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spans="2:55" ht="12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spans="2:55" ht="12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spans="2:55" ht="12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spans="2:55" ht="12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spans="2:55" ht="12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spans="2:55" ht="12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spans="2:55" ht="12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spans="2:55" ht="12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spans="2:55" ht="12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spans="2:55" ht="12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spans="2:55" ht="12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spans="2:55" ht="12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spans="2:55" ht="12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spans="2:55" ht="12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spans="2:55" ht="12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spans="2:55" ht="12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spans="2:55" ht="12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spans="2:55" ht="12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spans="2:55" ht="12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spans="2:55" ht="12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spans="2:55" ht="12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spans="2:55" ht="12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spans="2:55" ht="12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spans="2:55" ht="12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spans="2:55" ht="12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spans="2:55" ht="12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spans="2:55" ht="12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spans="2:55" ht="12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spans="2:55" ht="12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spans="2:55" ht="12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spans="2:55" ht="12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spans="2:55" ht="12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spans="2:55" ht="12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spans="2:55" ht="12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spans="2:55" ht="12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spans="2:55" ht="12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spans="2:55" ht="12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spans="2:55" ht="12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spans="2:55" ht="12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spans="2:55" ht="12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spans="2:55" ht="12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spans="2:55" ht="12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spans="2:55" ht="12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spans="2:55" ht="12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spans="2:55" ht="12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spans="2:55" ht="12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spans="2:55" ht="12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spans="2:55" ht="12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spans="2:55" ht="12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spans="2:55" ht="12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spans="2:55" ht="12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spans="2:55" ht="12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spans="2:55" ht="12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spans="2:55" ht="12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spans="2:55" ht="12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spans="2:55" ht="12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spans="2:55" ht="12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spans="2:55" ht="12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spans="2:55" ht="12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spans="2:55" ht="12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spans="2:55" ht="12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spans="2:55" ht="12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spans="2:55" ht="12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spans="2:55" ht="12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spans="2:55" ht="12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spans="2:55" ht="12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spans="2:55" ht="12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spans="2:55" ht="12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spans="2:55" ht="12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spans="2:55" ht="12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spans="2:55" ht="12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spans="2:55" ht="12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spans="2:55" ht="12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spans="2:55" ht="12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spans="2:55" ht="12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spans="2:55" ht="12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spans="2:55" ht="12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spans="2:55" ht="12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spans="2:55" ht="12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spans="2:55" ht="12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spans="2:55" ht="12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spans="2:55" ht="12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spans="2:55" ht="12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spans="2:55" ht="12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spans="2:55" ht="12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spans="2:55" ht="12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spans="2:55" ht="12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spans="2:55" ht="12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spans="2:55" ht="12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spans="2:55" ht="12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spans="2:55" ht="12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spans="2:55" ht="12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spans="2:55" ht="12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spans="2:55" ht="12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spans="2:55" ht="12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spans="2:55" ht="12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spans="2:55" ht="12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spans="2:55" ht="12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spans="2:55" ht="12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spans="2:55" ht="12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</sheetData>
  <mergeCells count="111">
    <mergeCell ref="AK55:AL55"/>
    <mergeCell ref="AK56:AL56"/>
    <mergeCell ref="AK57:AL57"/>
    <mergeCell ref="L61:M61"/>
    <mergeCell ref="Q61:R61"/>
    <mergeCell ref="S61:T61"/>
    <mergeCell ref="W61:X61"/>
    <mergeCell ref="AH61:AI61"/>
    <mergeCell ref="Q63:V63"/>
    <mergeCell ref="M80:N80"/>
    <mergeCell ref="AJ77:AP77"/>
    <mergeCell ref="AJ80:AP80"/>
    <mergeCell ref="C109:C113"/>
    <mergeCell ref="AI23:AO23"/>
    <mergeCell ref="AI27:AO27"/>
    <mergeCell ref="AI31:AL31"/>
    <mergeCell ref="AI32:AL32"/>
    <mergeCell ref="A8:A45"/>
    <mergeCell ref="C34:C37"/>
    <mergeCell ref="C38:C41"/>
    <mergeCell ref="A46:A57"/>
    <mergeCell ref="D61:E61"/>
    <mergeCell ref="C63:C69"/>
    <mergeCell ref="C70:C76"/>
    <mergeCell ref="C77:C81"/>
    <mergeCell ref="AI9:AL9"/>
    <mergeCell ref="AI10:AK10"/>
    <mergeCell ref="AI17:AK17"/>
    <mergeCell ref="AI28:AK28"/>
    <mergeCell ref="AI35:AO35"/>
    <mergeCell ref="AI36:AK36"/>
    <mergeCell ref="AI39:AO39"/>
    <mergeCell ref="AI40:AK40"/>
    <mergeCell ref="AK46:AN46"/>
    <mergeCell ref="AK47:AL47"/>
    <mergeCell ref="AK48:AL48"/>
    <mergeCell ref="R96:V96"/>
    <mergeCell ref="O105:P105"/>
    <mergeCell ref="M107:N107"/>
    <mergeCell ref="Q107:R107"/>
    <mergeCell ref="T107:U107"/>
    <mergeCell ref="D94:I94"/>
    <mergeCell ref="L94:M94"/>
    <mergeCell ref="C96:C103"/>
    <mergeCell ref="D96:M96"/>
    <mergeCell ref="D101:I101"/>
    <mergeCell ref="L101:M101"/>
    <mergeCell ref="C104:C108"/>
    <mergeCell ref="Q70:V70"/>
    <mergeCell ref="AC70:AI70"/>
    <mergeCell ref="AC75:AI75"/>
    <mergeCell ref="D77:I77"/>
    <mergeCell ref="L88:M88"/>
    <mergeCell ref="L89:M89"/>
    <mergeCell ref="M77:P77"/>
    <mergeCell ref="T77:X77"/>
    <mergeCell ref="C82:C95"/>
    <mergeCell ref="D82:M82"/>
    <mergeCell ref="R82:V82"/>
    <mergeCell ref="O83:P83"/>
    <mergeCell ref="D88:I88"/>
    <mergeCell ref="AC82:AP82"/>
    <mergeCell ref="AY82:BC82"/>
    <mergeCell ref="AC88:AP88"/>
    <mergeCell ref="AC89:AP89"/>
    <mergeCell ref="AC90:AP90"/>
    <mergeCell ref="AC93:AP93"/>
    <mergeCell ref="AC96:AI96"/>
    <mergeCell ref="Z97:AC97"/>
    <mergeCell ref="AC63:AI63"/>
    <mergeCell ref="AC67:AI67"/>
    <mergeCell ref="AC68:AI68"/>
    <mergeCell ref="C30:C33"/>
    <mergeCell ref="AX36:BC36"/>
    <mergeCell ref="AZ40:BC40"/>
    <mergeCell ref="AU41:AV41"/>
    <mergeCell ref="AI45:BC45"/>
    <mergeCell ref="AZ48:BA48"/>
    <mergeCell ref="AZ49:BA49"/>
    <mergeCell ref="AK54:BA54"/>
    <mergeCell ref="AX24:BC24"/>
    <mergeCell ref="AX27:BC27"/>
    <mergeCell ref="AX28:BC28"/>
    <mergeCell ref="AU29:AV29"/>
    <mergeCell ref="AZ32:BA32"/>
    <mergeCell ref="AZ33:BC33"/>
    <mergeCell ref="AX35:BC35"/>
    <mergeCell ref="AS33:AT33"/>
    <mergeCell ref="AK49:AL49"/>
    <mergeCell ref="AK50:AL50"/>
    <mergeCell ref="AK51:AL51"/>
    <mergeCell ref="AK52:AL52"/>
    <mergeCell ref="AK53:AL53"/>
    <mergeCell ref="AI13:AK13"/>
    <mergeCell ref="AI16:AL16"/>
    <mergeCell ref="AS14:AT14"/>
    <mergeCell ref="AS18:AT18"/>
    <mergeCell ref="AI19:AL19"/>
    <mergeCell ref="AI20:AK20"/>
    <mergeCell ref="C15:C21"/>
    <mergeCell ref="C22:C29"/>
    <mergeCell ref="BB11:BC11"/>
    <mergeCell ref="BB14:BC14"/>
    <mergeCell ref="AZ17:BA17"/>
    <mergeCell ref="BB18:BC18"/>
    <mergeCell ref="AZ20:BA20"/>
    <mergeCell ref="BB21:BC21"/>
    <mergeCell ref="AX23:BC23"/>
    <mergeCell ref="C8:C14"/>
    <mergeCell ref="AS11:AT11"/>
    <mergeCell ref="AS21:AT21"/>
  </mergeCells>
  <pageMargins left="0.05" right="0.05" top="0.05" bottom="0.05" header="0" footer="0"/>
  <pageSetup paperSize="5" scale="65" orientation="landscape"/>
  <headerFooter>
    <oddFooter>&amp;C&amp;D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Glatt</dc:creator>
  <cp:lastModifiedBy>Harrison Glatt</cp:lastModifiedBy>
  <dcterms:created xsi:type="dcterms:W3CDTF">2026-04-27T14:08:52Z</dcterms:created>
  <dcterms:modified xsi:type="dcterms:W3CDTF">2026-04-27T14:08:52Z</dcterms:modified>
</cp:coreProperties>
</file>